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876e4631f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data_200" sheetId="1" r:id="R91f487ac77a445c1"/>
    <x:sheet xmlns:r="http://schemas.openxmlformats.org/officeDocument/2006/relationships" name="summary" sheetId="2" r:id="R97c8660d011b42ef"/>
    <x:sheet xmlns:r="http://schemas.openxmlformats.org/officeDocument/2006/relationships" name="metric_dictionary" sheetId="3" r:id="R903f857d591f4104"/>
    <x:sheet xmlns:r="http://schemas.openxmlformats.org/officeDocument/2006/relationships" name="README" sheetId="4" r:id="R3cc4e132e4fd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0"/>
    <x:numFmt numFmtId="203" formatCode="0.0"/>
    <x:numFmt numFmtId="204" formatCode="#,##0.0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0" borderId="1" xfId="0" applyNumberFormat="1" applyFont="1" applyFill="1" applyBorder="1" applyAlignment="1">
      <x:alignment wrapText="0"/>
    </x:xf>
    <x:xf numFmtId="200" fontId="3" fillId="0" borderId="0" xfId="0" applyNumberFormat="1" applyFont="1" applyFill="1" applyBorder="1" applyAlignment="1">
      <x:alignment wrapText="0"/>
    </x:xf>
    <x:xf numFmtId="200" fontId="3" fillId="0" borderId="1" xfId="0" applyNumberFormat="1" applyFont="1" applyFill="1" applyBorder="1" applyAlignment="1">
      <x:alignment wrapText="0"/>
    </x:xf>
    <x:xf numFmtId="201" fontId="3" fillId="0" borderId="0" xfId="0" applyNumberFormat="1" applyFont="1" applyFill="1" applyBorder="1" applyAlignment="1">
      <x:alignment wrapText="0"/>
    </x:xf>
    <x:xf numFmtId="201" fontId="3" fillId="0" borderId="1" xfId="0" applyNumberFormat="1" applyFont="1" applyFill="1" applyBorder="1" applyAlignment="1">
      <x:alignment wrapText="0"/>
    </x:xf>
    <x:xf numFmtId="202" fontId="3" fillId="0" borderId="0" xfId="0" applyNumberFormat="1" applyFont="1" applyFill="1" applyBorder="1" applyAlignment="1">
      <x:alignment wrapText="0"/>
    </x:xf>
    <x:xf numFmtId="202" fontId="3" fillId="0" borderId="1" xfId="0" applyNumberFormat="1" applyFont="1" applyFill="1" applyBorder="1" applyAlignment="1">
      <x:alignment wrapText="0"/>
    </x:xf>
    <x:xf numFmtId="203" fontId="3" fillId="0" borderId="0" xfId="0" applyNumberFormat="1" applyFont="1" applyFill="1" applyBorder="1" applyAlignment="1">
      <x:alignment wrapText="0"/>
    </x:xf>
    <x:xf numFmtId="203" fontId="3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ab3256fff4582" /><Relationship Type="http://schemas.openxmlformats.org/officeDocument/2006/relationships/theme" Target="/xl/theme/theme1.xml" Id="R24f80a83184547fa" /><Relationship Type="http://schemas.openxmlformats.org/officeDocument/2006/relationships/sharedStrings" Target="/xl/sharedStrings.xml" Id="R33ebb7c6420941d4" /><Relationship Type="http://schemas.openxmlformats.org/officeDocument/2006/relationships/worksheet" Target="/xl/worksheets/sheet1.xml" Id="R91f487ac77a445c1" /><Relationship Type="http://schemas.openxmlformats.org/officeDocument/2006/relationships/worksheet" Target="/xl/worksheets/sheet2.xml" Id="R97c8660d011b42ef" /><Relationship Type="http://schemas.openxmlformats.org/officeDocument/2006/relationships/worksheet" Target="/xl/worksheets/sheet3.xml" Id="R903f857d591f4104" /><Relationship Type="http://schemas.openxmlformats.org/officeDocument/2006/relationships/worksheet" Target="/xl/worksheets/sheet4.xml" Id="R3cc4e132e4fd4e2b" /></Relationships>
</file>

<file path=xl/tables/table1.xml><?xml version="1.0" encoding="utf-8"?>
<x:table xmlns:x="http://schemas.openxmlformats.org/spreadsheetml/2006/main" id="1" name="SampleData200" displayName="SampleData200" ref="A1:BF201" headerRowCount="1">
  <x:tableColumns count="58">
    <x:tableColumn id="1" name="row_id"/>
    <x:tableColumn id="2" name="record_type"/>
    <x:tableColumn id="3" name="data_date"/>
    <x:tableColumn id="4" name="sales_channel"/>
    <x:tableColumn id="5" name="device"/>
    <x:tableColumn id="6" name="traffic_channel"/>
    <x:tableColumn id="7" name="dep_id"/>
    <x:tableColumn id="8" name="brand"/>
    <x:tableColumn id="9" name="cat1"/>
    <x:tableColumn id="10" name="cat2"/>
    <x:tableColumn id="11" name="product"/>
    <x:tableColumn id="12" name="sku"/>
    <x:tableColumn id="13" name="product_price"/>
    <x:tableColumn id="14" name="product_price_delta_pct"/>
    <x:tableColumn id="15" name="stock_qty"/>
    <x:tableColumn id="16" name="warehouse_stock_qty"/>
    <x:tableColumn id="17" name="incoming_qty"/>
    <x:tableColumn id="18" name="supplier_lead_time_days"/>
    <x:tableColumn id="19" name="reorder_point_qty"/>
    <x:tableColumn id="20" name="daily_sales_qty_7d"/>
    <x:tableColumn id="21" name="stock_coverage_days"/>
    <x:tableColumn id="22" name="availability_status"/>
    <x:tableColumn id="23" name="stock_risk_level"/>
    <x:tableColumn id="24" name="total_unique_pdp_views_sum"/>
    <x:tableColumn id="25" name="total_unique_add_to_carts_sum"/>
    <x:tableColumn id="26" name="total_transactions_sum"/>
    <x:tableColumn id="27" name="c2d_pct"/>
    <x:tableColumn id="28" name="c2d_delta_pct"/>
    <x:tableColumn id="29" name="b2d_pct"/>
    <x:tableColumn id="30" name="b2d_delta_pct"/>
    <x:tableColumn id="31" name="revenue"/>
    <x:tableColumn id="32" name="revenue_delta_pct"/>
    <x:tableColumn id="33" name="bounce_rate_pct"/>
    <x:tableColumn id="34" name="bounce_rate_delta_pct"/>
    <x:tableColumn id="35" name="cart_views"/>
    <x:tableColumn id="36" name="shipping_views"/>
    <x:tableColumn id="37" name="payment_views"/>
    <x:tableColumn id="38" name="summary_views"/>
    <x:tableColumn id="39" name="checkout_submits"/>
    <x:tableColumn id="40" name="cart_view_rate_pct"/>
    <x:tableColumn id="41" name="shipping_rate_pct"/>
    <x:tableColumn id="42" name="payment_rate_pct"/>
    <x:tableColumn id="43" name="summary_rate_pct"/>
    <x:tableColumn id="44" name="checkout_submit_rate_pct"/>
    <x:tableColumn id="45" name="transaction_rate_pct"/>
    <x:tableColumn id="46" name="pdp_delta_pct"/>
    <x:tableColumn id="47" name="a2c_delta_pct"/>
    <x:tableColumn id="48" name="cartview_delta_pct"/>
    <x:tableColumn id="49" name="shipping_delta_pct"/>
    <x:tableColumn id="50" name="payment_delta_pct"/>
    <x:tableColumn id="51" name="summary_delta_pct"/>
    <x:tableColumn id="52" name="checkout_submit_delta_pct"/>
    <x:tableColumn id="53" name="transactions_delta_pct"/>
    <x:tableColumn id="54" name="avg_order_value"/>
    <x:tableColumn id="55" name="estimated_lost_sales_qty"/>
    <x:tableColumn id="56" name="estimated_lost_revenue"/>
    <x:tableColumn id="57" name="ai_question_group"/>
    <x:tableColumn id="58" name="source_hint"/>
  </x:tableColumns>
  <x:tableStyleInfo name="TableStyleMedium2" showRowStripes="1"/>
</x:table>
</file>

<file path=xl/tables/table2.xml><?xml version="1.0" encoding="utf-8"?>
<x:table xmlns:x="http://schemas.openxmlformats.org/spreadsheetml/2006/main" id="2" name="MetricDictionary" displayName="MetricDictionary" ref="A1:D25" headerRowCount="1">
  <x:tableColumns count="4">
    <x:tableColumn id="1" name="field"/>
    <x:tableColumn id="2" name="meaning"/>
    <x:tableColumn id="3" name="formula_or_source"/>
    <x:tableColumn id="4" name="use_c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1e96d8835d43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522787c3b1427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22" hidden="0" customWidth="1"/>
    <x:col min="7" max="7" width="12" hidden="0" customWidth="1"/>
    <x:col min="8" max="8" width="12" hidden="0" customWidth="1"/>
    <x:col min="9" max="9" width="22" hidden="0" customWidth="1"/>
    <x:col min="10" max="10" width="24" hidden="0" customWidth="1"/>
    <x:col min="11" max="11" width="42" hidden="0" customWidth="1"/>
    <x:col min="12" max="12" width="12" hidden="0" customWidth="1"/>
    <x:col min="13" max="13" width="12" hidden="0" customWidth="1"/>
    <x:col min="15" max="15" width="12" hidden="0" customWidth="1"/>
    <x:col min="16" max="16" width="12" hidden="0" customWidth="1"/>
    <x:col min="17" max="17" width="12" hidden="0" customWidth="1"/>
    <x:col min="22" max="22" width="20" hidden="0" customWidth="1"/>
    <x:col min="23" max="23" width="16" hidden="0" customWidth="1"/>
    <x:col min="58" max="58" width="42" hidden="0" customWidth="1"/>
    <x:col min="57" max="57" width="24" hidden="0" customWidth="1"/>
    <x:col min="14" max="14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</x:cols>
  <x:sheetData>
    <x:row r="1">
      <x:c r="A1" s="16" t="str">
        <x:v>row_id</x:v>
      </x:c>
      <x:c r="B1" s="16" t="str">
        <x:v>record_type</x:v>
      </x:c>
      <x:c r="C1" s="16" t="str">
        <x:v>data_date</x:v>
      </x:c>
      <x:c r="D1" s="16" t="str">
        <x:v>sales_channel</x:v>
      </x:c>
      <x:c r="E1" s="16" t="str">
        <x:v>device</x:v>
      </x:c>
      <x:c r="F1" s="16" t="str">
        <x:v>traffic_channel</x:v>
      </x:c>
      <x:c r="G1" s="16" t="str">
        <x:v>dep_id</x:v>
      </x:c>
      <x:c r="H1" s="16" t="str">
        <x:v>brand</x:v>
      </x:c>
      <x:c r="I1" s="16" t="str">
        <x:v>cat1</x:v>
      </x:c>
      <x:c r="J1" s="16" t="str">
        <x:v>cat2</x:v>
      </x:c>
      <x:c r="K1" s="16" t="str">
        <x:v>product</x:v>
      </x:c>
      <x:c r="L1" s="16" t="str">
        <x:v>sku</x:v>
      </x:c>
      <x:c r="M1" s="16" t="str">
        <x:v>product_price</x:v>
      </x:c>
      <x:c r="N1" s="16" t="str">
        <x:v>product_price_delta_pct</x:v>
      </x:c>
      <x:c r="O1" s="16" t="str">
        <x:v>stock_qty</x:v>
      </x:c>
      <x:c r="P1" s="16" t="str">
        <x:v>warehouse_stock_qty</x:v>
      </x:c>
      <x:c r="Q1" s="16" t="str">
        <x:v>incoming_qty</x:v>
      </x:c>
      <x:c r="R1" s="16" t="str">
        <x:v>supplier_lead_time_days</x:v>
      </x:c>
      <x:c r="S1" s="16" t="str">
        <x:v>reorder_point_qty</x:v>
      </x:c>
      <x:c r="T1" s="16" t="str">
        <x:v>daily_sales_qty_7d</x:v>
      </x:c>
      <x:c r="U1" s="16" t="str">
        <x:v>stock_coverage_days</x:v>
      </x:c>
      <x:c r="V1" s="16" t="str">
        <x:v>availability_status</x:v>
      </x:c>
      <x:c r="W1" s="16" t="str">
        <x:v>stock_risk_level</x:v>
      </x:c>
      <x:c r="X1" s="16" t="str">
        <x:v>total_unique_pdp_views_sum</x:v>
      </x:c>
      <x:c r="Y1" s="16" t="str">
        <x:v>total_unique_add_to_carts_sum</x:v>
      </x:c>
      <x:c r="Z1" s="16" t="str">
        <x:v>total_transactions_sum</x:v>
      </x:c>
      <x:c r="AA1" s="16" t="str">
        <x:v>c2d_pct</x:v>
      </x:c>
      <x:c r="AB1" s="16" t="str">
        <x:v>c2d_delta_pct</x:v>
      </x:c>
      <x:c r="AC1" s="16" t="str">
        <x:v>b2d_pct</x:v>
      </x:c>
      <x:c r="AD1" s="16" t="str">
        <x:v>b2d_delta_pct</x:v>
      </x:c>
      <x:c r="AE1" s="16" t="str">
        <x:v>revenue</x:v>
      </x:c>
      <x:c r="AF1" s="16" t="str">
        <x:v>revenue_delta_pct</x:v>
      </x:c>
      <x:c r="AG1" s="16" t="str">
        <x:v>bounce_rate_pct</x:v>
      </x:c>
      <x:c r="AH1" s="16" t="str">
        <x:v>bounce_rate_delta_pct</x:v>
      </x:c>
      <x:c r="AI1" s="16" t="str">
        <x:v>cart_views</x:v>
      </x:c>
      <x:c r="AJ1" s="16" t="str">
        <x:v>shipping_views</x:v>
      </x:c>
      <x:c r="AK1" s="16" t="str">
        <x:v>payment_views</x:v>
      </x:c>
      <x:c r="AL1" s="16" t="str">
        <x:v>summary_views</x:v>
      </x:c>
      <x:c r="AM1" s="16" t="str">
        <x:v>checkout_submits</x:v>
      </x:c>
      <x:c r="AN1" s="16" t="str">
        <x:v>cart_view_rate_pct</x:v>
      </x:c>
      <x:c r="AO1" s="16" t="str">
        <x:v>shipping_rate_pct</x:v>
      </x:c>
      <x:c r="AP1" s="16" t="str">
        <x:v>payment_rate_pct</x:v>
      </x:c>
      <x:c r="AQ1" s="16" t="str">
        <x:v>summary_rate_pct</x:v>
      </x:c>
      <x:c r="AR1" s="16" t="str">
        <x:v>checkout_submit_rate_pct</x:v>
      </x:c>
      <x:c r="AS1" s="16" t="str">
        <x:v>transaction_rate_pct</x:v>
      </x:c>
      <x:c r="AT1" s="16" t="str">
        <x:v>pdp_delta_pct</x:v>
      </x:c>
      <x:c r="AU1" s="16" t="str">
        <x:v>a2c_delta_pct</x:v>
      </x:c>
      <x:c r="AV1" s="16" t="str">
        <x:v>cartview_delta_pct</x:v>
      </x:c>
      <x:c r="AW1" s="16" t="str">
        <x:v>shipping_delta_pct</x:v>
      </x:c>
      <x:c r="AX1" s="16" t="str">
        <x:v>payment_delta_pct</x:v>
      </x:c>
      <x:c r="AY1" s="16" t="str">
        <x:v>summary_delta_pct</x:v>
      </x:c>
      <x:c r="AZ1" s="16" t="str">
        <x:v>checkout_submit_delta_pct</x:v>
      </x:c>
      <x:c r="BA1" s="16" t="str">
        <x:v>transactions_delta_pct</x:v>
      </x:c>
      <x:c r="BB1" s="16" t="str">
        <x:v>avg_order_value</x:v>
      </x:c>
      <x:c r="BC1" s="16" t="str">
        <x:v>estimated_lost_sales_qty</x:v>
      </x:c>
      <x:c r="BD1" s="16" t="str">
        <x:v>estimated_lost_revenue</x:v>
      </x:c>
      <x:c r="BE1" s="16" t="str">
        <x:v>ai_question_group</x:v>
      </x:c>
      <x:c r="BF1" s="16" t="str">
        <x:v>source_hint</x:v>
      </x:c>
    </x:row>
    <x:row r="2">
      <x:c r="A2" s="17" t="n">
        <x:v>1</x:v>
      </x:c>
      <x:c r="B2" s="17" t="str">
        <x:v>PRODUCT_STOCK_BEHAVIOR</x:v>
      </x:c>
      <x:c r="C2" s="20" t="n">
        <x:v>46144</x:v>
      </x:c>
      <x:c r="D2" s="17" t="str">
        <x:v>App</x:v>
      </x:c>
      <x:c r="E2" s="17" t="str">
        <x:v>Mobile</x:v>
      </x:c>
      <x:c r="F2" s="17" t="str">
        <x:v>Affiliate</x:v>
      </x:c>
      <x:c r="G2" s="17" t="n">
        <x:v>28</x:v>
      </x:c>
      <x:c r="H2" s="17" t="str">
        <x:v>APPLE</x:v>
      </x:c>
      <x:c r="I2" s="17" t="str">
        <x:v>Telefon</x:v>
      </x:c>
      <x:c r="J2" s="17" t="str">
        <x:v>Cep Telefonları</x:v>
      </x:c>
      <x:c r="K2" s="17" t="str">
        <x:v>APPLE iPhone 15 128 GB Akıllı Telefon Siyah MTP03TU/A</x:v>
      </x:c>
      <x:c r="L2" s="17" t="str">
        <x:v>1232435</x:v>
      </x:c>
      <x:c r="M2" s="22" t="n">
        <x:v>37648</x:v>
      </x:c>
      <x:c r="N2" s="26" t="n">
        <x:v>-18.9</x:v>
      </x:c>
      <x:c r="O2" s="22" t="n">
        <x:v>15</x:v>
      </x:c>
      <x:c r="P2" s="22" t="n">
        <x:v>5</x:v>
      </x:c>
      <x:c r="Q2" s="22" t="n">
        <x:v>0</x:v>
      </x:c>
      <x:c r="R2" s="17" t="n">
        <x:v>5</x:v>
      </x:c>
      <x:c r="S2" s="22" t="n">
        <x:v>8</x:v>
      </x:c>
      <x:c r="T2" s="24" t="n">
        <x:v>0.9</x:v>
      </x:c>
      <x:c r="U2" s="24" t="n">
        <x:f>IFERROR(O2/T2,0)</x:f>
        <x:v>16.666666666666668</x:v>
      </x:c>
      <x:c r="V2" s="17" t="str">
        <x:f>IF(O2&lt;=0,"out_of_stock",IF(U2&lt;7,"critical_low_stock",IF(U2&gt;60,"overstock","in_stock")))</x:f>
        <x:v>in_stock</x:v>
      </x:c>
      <x:c r="W2" s="17" t="str">
        <x:f>IF(O2&lt;=0,"OOS",IF(AND(U2&lt;7,AC2&gt;=0.5),"High Risk",IF(U2&lt;14,"Medium Risk",IF(U2&gt;60,"Overstock","Healthy"))))</x:f>
        <x:v>Healthy</x:v>
      </x:c>
      <x:c r="X2" s="22" t="n">
        <x:v>10730</x:v>
      </x:c>
      <x:c r="Y2" s="22" t="n">
        <x:v>527</x:v>
      </x:c>
      <x:c r="Z2" s="22" t="n">
        <x:v>1</x:v>
      </x:c>
      <x:c r="AA2" s="24" t="n">
        <x:f>IFERROR(Y2/X2*100,0)</x:f>
        <x:v>4.911463187325257</x:v>
      </x:c>
      <x:c r="AB2" s="26" t="n">
        <x:v>5.3</x:v>
      </x:c>
      <x:c r="AC2" s="24" t="n">
        <x:f>IFERROR(Z2/X2*100,0)</x:f>
        <x:v>0.009319664492078286</x:v>
      </x:c>
      <x:c r="AD2" s="26" t="n">
        <x:v>-53.1</x:v>
      </x:c>
      <x:c r="AE2" s="22" t="n">
        <x:f>IFERROR(Z2*M2,0)</x:f>
        <x:v>37648</x:v>
      </x:c>
      <x:c r="AF2" s="26" t="n">
        <x:v>-76.9</x:v>
      </x:c>
      <x:c r="AG2" s="24" t="n">
        <x:v>45</x:v>
      </x:c>
      <x:c r="AH2" s="26" t="n">
        <x:v>1.5</x:v>
      </x:c>
      <x:c r="AI2" s="22" t="n">
        <x:v>446</x:v>
      </x:c>
      <x:c r="AJ2" s="22" t="n">
        <x:v>243</x:v>
      </x:c>
      <x:c r="AK2" s="22" t="n">
        <x:v>186</x:v>
      </x:c>
      <x:c r="AL2" s="22" t="n">
        <x:v>123</x:v>
      </x:c>
      <x:c r="AM2" s="22" t="n">
        <x:v>55</x:v>
      </x:c>
      <x:c r="AN2" s="24" t="n">
        <x:f>IFERROR(AI2/X2*100,0)</x:f>
        <x:v>4.1565703634669156</x:v>
      </x:c>
      <x:c r="AO2" s="24" t="n">
        <x:f>IFERROR(AJ2/X2*100,0)</x:f>
        <x:v>2.2646784715750234</x:v>
      </x:c>
      <x:c r="AP2" s="24" t="n">
        <x:f>IFERROR(AK2/X2*100,0)</x:f>
        <x:v>1.7334575955265612</x:v>
      </x:c>
      <x:c r="AQ2" s="24" t="n">
        <x:f>IFERROR(AL2/X2*100,0)</x:f>
        <x:v>1.146318732525629</x:v>
      </x:c>
      <x:c r="AR2" s="24" t="n">
        <x:f>IFERROR(AM2/X2*100,0)</x:f>
        <x:v>0.5125815470643057</x:v>
      </x:c>
      <x:c r="AS2" s="24" t="n">
        <x:f>IFERROR(Z2/X2*100,0)</x:f>
        <x:v>0.009319664492078286</x:v>
      </x:c>
      <x:c r="AT2" s="26" t="n">
        <x:v>5.8</x:v>
      </x:c>
      <x:c r="AU2" s="26" t="n">
        <x:v>12.3</x:v>
      </x:c>
      <x:c r="AV2" s="26" t="n">
        <x:v>6.3</x:v>
      </x:c>
      <x:c r="AW2" s="26" t="n">
        <x:v>-16.5</x:v>
      </x:c>
      <x:c r="AX2" s="26" t="n">
        <x:v>-0.9</x:v>
      </x:c>
      <x:c r="AY2" s="26" t="n">
        <x:v>-15.1</x:v>
      </x:c>
      <x:c r="AZ2" s="26" t="n">
        <x:v>-8.5</x:v>
      </x:c>
      <x:c r="BA2" s="26" t="n">
        <x:v>-50</x:v>
      </x:c>
      <x:c r="BB2" s="22" t="n">
        <x:f>IFERROR(AE2/Z2,0)</x:f>
        <x:v>37648</x:v>
      </x:c>
      <x:c r="BC2" s="17" t="n">
        <x:f>IF(OR(V2="out_of_stock",V2="critical_low_stock"),MAX(0,(14-U2)*T2),0)</x:f>
        <x:v>0</x:v>
      </x:c>
      <x:c r="BD2" s="22" t="n">
        <x:f>IFERROR(BC2*M2,0)</x:f>
        <x:v>0</x:v>
      </x:c>
      <x:c r="BE2" s="17" t="str">
        <x:v>stock_sales_behavior</x:v>
      </x:c>
      <x:c r="BF2" s="17" t="str">
        <x:v>copied_from_uploaded_product2 + synthetic_stock</x:v>
      </x:c>
    </x:row>
    <x:row r="3">
      <x:c r="A3" s="17" t="n">
        <x:v>2</x:v>
      </x:c>
      <x:c r="B3" s="17" t="str">
        <x:v>PRODUCT_STOCK_BEHAVIOR</x:v>
      </x:c>
      <x:c r="C3" s="20" t="n">
        <x:v>46145</x:v>
      </x:c>
      <x:c r="D3" s="17" t="str">
        <x:v>App</x:v>
      </x:c>
      <x:c r="E3" s="17" t="str">
        <x:v>Desktop</x:v>
      </x:c>
      <x:c r="F3" s="17" t="str">
        <x:v>Affiliate</x:v>
      </x:c>
      <x:c r="G3" s="17" t="n">
        <x:v>28</x:v>
      </x:c>
      <x:c r="H3" s="17" t="str">
        <x:v>APPLE</x:v>
      </x:c>
      <x:c r="I3" s="17" t="str">
        <x:v>Telefon</x:v>
      </x:c>
      <x:c r="J3" s="17" t="str">
        <x:v>Cep Telefonları</x:v>
      </x:c>
      <x:c r="K3" s="17" t="str">
        <x:v>APPLE iPhone 17 256 GB Akıllı Telefon Adaçayı MG6N4TU/A</x:v>
      </x:c>
      <x:c r="L3" s="17" t="str">
        <x:v>1249225</x:v>
      </x:c>
      <x:c r="M3" s="22" t="n">
        <x:v>57212</x:v>
      </x:c>
      <x:c r="N3" s="26" t="n">
        <x:v>14.1</x:v>
      </x:c>
      <x:c r="O3" s="22" t="n">
        <x:v>58</x:v>
      </x:c>
      <x:c r="P3" s="22" t="n">
        <x:v>25</x:v>
      </x:c>
      <x:c r="Q3" s="22" t="n">
        <x:v>0</x:v>
      </x:c>
      <x:c r="R3" s="17" t="n">
        <x:v>10</x:v>
      </x:c>
      <x:c r="S3" s="22" t="n">
        <x:v>212</x:v>
      </x:c>
      <x:c r="T3" s="24" t="n">
        <x:v>16.3</x:v>
      </x:c>
      <x:c r="U3" s="24" t="n">
        <x:f>IFERROR(O3/T3,0)</x:f>
        <x:v>3.558282208588957</x:v>
      </x:c>
      <x:c r="V3" s="17" t="str">
        <x:f>IF(O3&lt;=0,"out_of_stock",IF(U3&lt;7,"critical_low_stock",IF(U3&gt;60,"overstock","in_stock")))</x:f>
        <x:v>critical_low_stock</x:v>
      </x:c>
      <x:c r="W3" s="17" t="str">
        <x:f>IF(O3&lt;=0,"OOS",IF(AND(U3&lt;7,AC3&gt;=0.5),"High Risk",IF(U3&lt;14,"Medium Risk",IF(U3&gt;60,"Overstock","Healthy"))))</x:f>
        <x:v>High Risk</x:v>
      </x:c>
      <x:c r="X3" s="22" t="n">
        <x:v>8110</x:v>
      </x:c>
      <x:c r="Y3" s="22" t="n">
        <x:v>934</x:v>
      </x:c>
      <x:c r="Z3" s="22" t="n">
        <x:v>111</x:v>
      </x:c>
      <x:c r="AA3" s="24" t="n">
        <x:f>IFERROR(Y3/X3*100,0)</x:f>
        <x:v>11.516646115906289</x:v>
      </x:c>
      <x:c r="AB3" s="26" t="n">
        <x:v>-32.1</x:v>
      </x:c>
      <x:c r="AC3" s="24" t="n">
        <x:f>IFERROR(Z3/X3*100,0)</x:f>
        <x:v>1.3686806411837238</x:v>
      </x:c>
      <x:c r="AD3" s="26" t="n">
        <x:v>-50.6</x:v>
      </x:c>
      <x:c r="AE3" s="22" t="n">
        <x:f>IFERROR(Z3*M3,0)</x:f>
        <x:v>6350532</x:v>
      </x:c>
      <x:c r="AF3" s="26" t="n">
        <x:v>-4.3</x:v>
      </x:c>
      <x:c r="AG3" s="24" t="n">
        <x:v>39</x:v>
      </x:c>
      <x:c r="AH3" s="26" t="n">
        <x:v>15.5</x:v>
      </x:c>
      <x:c r="AI3" s="22" t="n">
        <x:v>639</x:v>
      </x:c>
      <x:c r="AJ3" s="22" t="n">
        <x:v>218</x:v>
      </x:c>
      <x:c r="AK3" s="22" t="n">
        <x:v>118</x:v>
      </x:c>
      <x:c r="AL3" s="22" t="n">
        <x:v>112</x:v>
      </x:c>
      <x:c r="AM3" s="22" t="n">
        <x:v>111</x:v>
      </x:c>
      <x:c r="AN3" s="24" t="n">
        <x:f>IFERROR(AI3/X3*100,0)</x:f>
        <x:v>7.879161528976572</x:v>
      </x:c>
      <x:c r="AO3" s="24" t="n">
        <x:f>IFERROR(AJ3/X3*100,0)</x:f>
        <x:v>2.688039457459926</x:v>
      </x:c>
      <x:c r="AP3" s="24" t="n">
        <x:f>IFERROR(AK3/X3*100,0)</x:f>
        <x:v>1.4549938347718867</x:v>
      </x:c>
      <x:c r="AQ3" s="24" t="n">
        <x:f>IFERROR(AL3/X3*100,0)</x:f>
        <x:v>1.381011097410604</x:v>
      </x:c>
      <x:c r="AR3" s="24" t="n">
        <x:f>IFERROR(AM3/X3*100,0)</x:f>
        <x:v>1.3686806411837238</x:v>
      </x:c>
      <x:c r="AS3" s="24" t="n">
        <x:f>IFERROR(Z3/X3*100,0)</x:f>
        <x:v>1.3686806411837238</x:v>
      </x:c>
      <x:c r="AT3" s="26" t="n">
        <x:v>37.8</x:v>
      </x:c>
      <x:c r="AU3" s="26" t="n">
        <x:v>-7.8</x:v>
      </x:c>
      <x:c r="AV3" s="26" t="n">
        <x:v>-15.3</x:v>
      </x:c>
      <x:c r="AW3" s="26" t="n">
        <x:v>8</x:v>
      </x:c>
      <x:c r="AX3" s="26" t="n">
        <x:v>-17.2</x:v>
      </x:c>
      <x:c r="AY3" s="26" t="n">
        <x:v>-11.8</x:v>
      </x:c>
      <x:c r="AZ3" s="26" t="n">
        <x:v>-6.7</x:v>
      </x:c>
      <x:c r="BA3" s="26" t="n">
        <x:v>-27.6</x:v>
      </x:c>
      <x:c r="BB3" s="22" t="n">
        <x:f>IFERROR(AE3/Z3,0)</x:f>
        <x:v>57212</x:v>
      </x:c>
      <x:c r="BC3" s="17" t="n">
        <x:f>IF(OR(V3="out_of_stock",V3="critical_low_stock"),MAX(0,(14-U3)*T3),0)</x:f>
        <x:v>170.20000000000002</x:v>
      </x:c>
      <x:c r="BD3" s="22" t="n">
        <x:f>IFERROR(BC3*M3,0)</x:f>
        <x:v>9737482.4</x:v>
      </x:c>
      <x:c r="BE3" s="17" t="str">
        <x:v>stock_sales_behavior</x:v>
      </x:c>
      <x:c r="BF3" s="17" t="str">
        <x:v>copied_from_uploaded_product2 + synthetic_stock</x:v>
      </x:c>
    </x:row>
    <x:row r="4">
      <x:c r="A4" s="17" t="n">
        <x:v>3</x:v>
      </x:c>
      <x:c r="B4" s="17" t="str">
        <x:v>PRODUCT_STOCK_BEHAVIOR</x:v>
      </x:c>
      <x:c r="C4" s="20" t="n">
        <x:v>46146</x:v>
      </x:c>
      <x:c r="D4" s="17" t="str">
        <x:v>Web</x:v>
      </x:c>
      <x:c r="E4" s="17" t="str">
        <x:v>Desktop</x:v>
      </x:c>
      <x:c r="F4" s="17" t="str">
        <x:v>Direct</x:v>
      </x:c>
      <x:c r="G4" s="17" t="n">
        <x:v>28</x:v>
      </x:c>
      <x:c r="H4" s="17" t="str">
        <x:v>APPLE</x:v>
      </x:c>
      <x:c r="I4" s="17" t="str">
        <x:v>Telefon</x:v>
      </x:c>
      <x:c r="J4" s="17" t="str">
        <x:v>Cep Telefonları</x:v>
      </x:c>
      <x:c r="K4" s="17" t="str">
        <x:v>APPLE iPhone 17 Pro Max 256 GB Akıllı Telefon Gümüş MFYM4TU/A</x:v>
      </x:c>
      <x:c r="L4" s="17" t="str">
        <x:v>1249245</x:v>
      </x:c>
      <x:c r="M4" s="22" t="n">
        <x:v>96507</x:v>
      </x:c>
      <x:c r="N4" s="26" t="n">
        <x:v>18.8</x:v>
      </x:c>
      <x:c r="O4" s="22" t="n">
        <x:v>39</x:v>
      </x:c>
      <x:c r="P4" s="22" t="n">
        <x:v>46</x:v>
      </x:c>
      <x:c r="Q4" s="22" t="n">
        <x:v>0</x:v>
      </x:c>
      <x:c r="R4" s="17" t="n">
        <x:v>21</x:v>
      </x:c>
      <x:c r="S4" s="22" t="n">
        <x:v>72</x:v>
      </x:c>
      <x:c r="T4" s="24" t="n">
        <x:v>3</x:v>
      </x:c>
      <x:c r="U4" s="24" t="n">
        <x:f>IFERROR(O4/T4,0)</x:f>
        <x:v>13</x:v>
      </x:c>
      <x:c r="V4" s="17" t="str">
        <x:f>IF(O4&lt;=0,"out_of_stock",IF(U4&lt;7,"critical_low_stock",IF(U4&gt;60,"overstock","in_stock")))</x:f>
        <x:v>in_stock</x:v>
      </x:c>
      <x:c r="W4" s="17" t="str">
        <x:f>IF(O4&lt;=0,"OOS",IF(AND(U4&lt;7,AC4&gt;=0.5),"High Risk",IF(U4&lt;14,"Medium Risk",IF(U4&gt;60,"Overstock","Healthy"))))</x:f>
        <x:v>Medium Risk</x:v>
      </x:c>
      <x:c r="X4" s="22" t="n">
        <x:v>7182</x:v>
      </x:c>
      <x:c r="Y4" s="22" t="n">
        <x:v>780</x:v>
      </x:c>
      <x:c r="Z4" s="22" t="n">
        <x:v>11</x:v>
      </x:c>
      <x:c r="AA4" s="24" t="n">
        <x:f>IFERROR(Y4/X4*100,0)</x:f>
        <x:v>10.86048454469507</x:v>
      </x:c>
      <x:c r="AB4" s="26" t="n">
        <x:v>11.9</x:v>
      </x:c>
      <x:c r="AC4" s="24" t="n">
        <x:f>IFERROR(Z4/X4*100,0)</x:f>
        <x:v>0.15316067947646894</x:v>
      </x:c>
      <x:c r="AD4" s="26" t="n">
        <x:v>-49.2</x:v>
      </x:c>
      <x:c r="AE4" s="22" t="n">
        <x:f>IFERROR(Z4*M4,0)</x:f>
        <x:v>1061577</x:v>
      </x:c>
      <x:c r="AF4" s="26" t="n">
        <x:v>-14.1</x:v>
      </x:c>
      <x:c r="AG4" s="24" t="n">
        <x:v>59</x:v>
      </x:c>
      <x:c r="AH4" s="26" t="n">
        <x:v>8.1</x:v>
      </x:c>
      <x:c r="AI4" s="22" t="n">
        <x:v>736</x:v>
      </x:c>
      <x:c r="AJ4" s="22" t="n">
        <x:v>504</x:v>
      </x:c>
      <x:c r="AK4" s="22" t="n">
        <x:v>449</x:v>
      </x:c>
      <x:c r="AL4" s="22" t="n">
        <x:v>352</x:v>
      </x:c>
      <x:c r="AM4" s="22" t="n">
        <x:v>221</x:v>
      </x:c>
      <x:c r="AN4" s="24" t="n">
        <x:f>IFERROR(AI4/X4*100,0)</x:f>
        <x:v>10.247841826789195</x:v>
      </x:c>
      <x:c r="AO4" s="24" t="n">
        <x:f>IFERROR(AJ4/X4*100,0)</x:f>
        <x:v>7.017543859649122</x:v>
      </x:c>
      <x:c r="AP4" s="24" t="n">
        <x:f>IFERROR(AK4/X4*100,0)</x:f>
        <x:v>6.251740462266778</x:v>
      </x:c>
      <x:c r="AQ4" s="24" t="n">
        <x:f>IFERROR(AL4/X4*100,0)</x:f>
        <x:v>4.901141743247006</x:v>
      </x:c>
      <x:c r="AR4" s="24" t="n">
        <x:f>IFERROR(AM4/X4*100,0)</x:f>
        <x:v>3.077137287663603</x:v>
      </x:c>
      <x:c r="AS4" s="24" t="n">
        <x:f>IFERROR(Z4/X4*100,0)</x:f>
        <x:v>0.15316067947646894</x:v>
      </x:c>
      <x:c r="AT4" s="26" t="n">
        <x:v>10.2</x:v>
      </x:c>
      <x:c r="AU4" s="26" t="n">
        <x:v>29.2</x:v>
      </x:c>
      <x:c r="AV4" s="26" t="n">
        <x:v>23.4</x:v>
      </x:c>
      <x:c r="AW4" s="26" t="n">
        <x:v>-51</x:v>
      </x:c>
      <x:c r="AX4" s="26" t="n">
        <x:v>12.8</x:v>
      </x:c>
      <x:c r="AY4" s="26" t="n">
        <x:v>4.2</x:v>
      </x:c>
      <x:c r="AZ4" s="26" t="n">
        <x:v>-7.6</x:v>
      </x:c>
      <x:c r="BA4" s="26" t="n">
        <x:v>-42.9</x:v>
      </x:c>
      <x:c r="BB4" s="22" t="n">
        <x:f>IFERROR(AE4/Z4,0)</x:f>
        <x:v>96507</x:v>
      </x:c>
      <x:c r="BC4" s="17" t="n">
        <x:f>IF(OR(V4="out_of_stock",V4="critical_low_stock"),MAX(0,(14-U4)*T4),0)</x:f>
        <x:v>0</x:v>
      </x:c>
      <x:c r="BD4" s="22" t="n">
        <x:f>IFERROR(BC4*M4,0)</x:f>
        <x:v>0</x:v>
      </x:c>
      <x:c r="BE4" s="17" t="str">
        <x:v>stock_sales_behavior</x:v>
      </x:c>
      <x:c r="BF4" s="17" t="str">
        <x:v>copied_from_uploaded_product2 + synthetic_stock</x:v>
      </x:c>
    </x:row>
    <x:row r="5">
      <x:c r="A5" s="17" t="n">
        <x:v>4</x:v>
      </x:c>
      <x:c r="B5" s="17" t="str">
        <x:v>PRODUCT_STOCK_BEHAVIOR</x:v>
      </x:c>
      <x:c r="C5" s="20" t="n">
        <x:v>46147</x:v>
      </x:c>
      <x:c r="D5" s="17" t="str">
        <x:v>Web</x:v>
      </x:c>
      <x:c r="E5" s="17" t="str">
        <x:v>Desktop</x:v>
      </x:c>
      <x:c r="F5" s="17" t="str">
        <x:v>Price Comparison</x:v>
      </x:c>
      <x:c r="G5" s="17" t="n">
        <x:v>28</x:v>
      </x:c>
      <x:c r="H5" s="17" t="str">
        <x:v>APPLE</x:v>
      </x:c>
      <x:c r="I5" s="17" t="str">
        <x:v>Telefon</x:v>
      </x:c>
      <x:c r="J5" s="17" t="str">
        <x:v>Cep Telefonları</x:v>
      </x:c>
      <x:c r="K5" s="17" t="str">
        <x:v>APPLE iPhone 17 256 GB Akıllı Telefon Siyah MG6J4TU/A</x:v>
      </x:c>
      <x:c r="L5" s="17" t="str">
        <x:v>1249221</x:v>
      </x:c>
      <x:c r="M5" s="22" t="n">
        <x:v>62607</x:v>
      </x:c>
      <x:c r="N5" s="26" t="n">
        <x:v>4</x:v>
      </x:c>
      <x:c r="O5" s="22" t="n">
        <x:v>126</x:v>
      </x:c>
      <x:c r="P5" s="22" t="n">
        <x:v>212</x:v>
      </x:c>
      <x:c r="Q5" s="22" t="n">
        <x:v>0</x:v>
      </x:c>
      <x:c r="R5" s="17" t="n">
        <x:v>10</x:v>
      </x:c>
      <x:c r="S5" s="22" t="n">
        <x:v>19</x:v>
      </x:c>
      <x:c r="T5" s="24" t="n">
        <x:v>1.4</x:v>
      </x:c>
      <x:c r="U5" s="24" t="n">
        <x:f>IFERROR(O5/T5,0)</x:f>
        <x:v>90</x:v>
      </x:c>
      <x:c r="V5" s="17" t="str">
        <x:f>IF(O5&lt;=0,"out_of_stock",IF(U5&lt;7,"critical_low_stock",IF(U5&gt;60,"overstock","in_stock")))</x:f>
        <x:v>overstock</x:v>
      </x:c>
      <x:c r="W5" s="17" t="str">
        <x:f>IF(O5&lt;=0,"OOS",IF(AND(U5&lt;7,AC5&gt;=0.5),"High Risk",IF(U5&lt;14,"Medium Risk",IF(U5&gt;60,"Overstock","Healthy"))))</x:f>
        <x:v>Overstock</x:v>
      </x:c>
      <x:c r="X5" s="22" t="n">
        <x:v>6591</x:v>
      </x:c>
      <x:c r="Y5" s="22" t="n">
        <x:v>465</x:v>
      </x:c>
      <x:c r="Z5" s="22" t="n">
        <x:v>5</x:v>
      </x:c>
      <x:c r="AA5" s="24" t="n">
        <x:f>IFERROR(Y5/X5*100,0)</x:f>
        <x:v>7.055075102412381</x:v>
      </x:c>
      <x:c r="AB5" s="26" t="n">
        <x:v>-14.9</x:v>
      </x:c>
      <x:c r="AC5" s="24" t="n">
        <x:f>IFERROR(Z5/X5*100,0)</x:f>
        <x:v>0.07586102260658474</x:v>
      </x:c>
      <x:c r="AD5" s="26" t="n">
        <x:v>57.7</x:v>
      </x:c>
      <x:c r="AE5" s="22" t="n">
        <x:f>IFERROR(Z5*M5,0)</x:f>
        <x:v>313035</x:v>
      </x:c>
      <x:c r="AF5" s="26" t="n">
        <x:v>95.9</x:v>
      </x:c>
      <x:c r="AG5" s="24" t="n">
        <x:v>53</x:v>
      </x:c>
      <x:c r="AH5" s="26" t="n">
        <x:v>-3.6</x:v>
      </x:c>
      <x:c r="AI5" s="22" t="n">
        <x:v>375</x:v>
      </x:c>
      <x:c r="AJ5" s="22" t="n">
        <x:v>206</x:v>
      </x:c>
      <x:c r="AK5" s="22" t="n">
        <x:v>166</x:v>
      </x:c>
      <x:c r="AL5" s="22" t="n">
        <x:v>157</x:v>
      </x:c>
      <x:c r="AM5" s="22" t="n">
        <x:v>124</x:v>
      </x:c>
      <x:c r="AN5" s="24" t="n">
        <x:f>IFERROR(AI5/X5*100,0)</x:f>
        <x:v>5.689576695493855</x:v>
      </x:c>
      <x:c r="AO5" s="24" t="n">
        <x:f>IFERROR(AJ5/X5*100,0)</x:f>
        <x:v>3.1254741313912913</x:v>
      </x:c>
      <x:c r="AP5" s="24" t="n">
        <x:f>IFERROR(AK5/X5*100,0)</x:f>
        <x:v>2.5185859505386134</x:v>
      </x:c>
      <x:c r="AQ5" s="24" t="n">
        <x:f>IFERROR(AL5/X5*100,0)</x:f>
        <x:v>2.382036109846761</x:v>
      </x:c>
      <x:c r="AR5" s="24" t="n">
        <x:f>IFERROR(AM5/X5*100,0)</x:f>
        <x:v>1.8813533606433015</x:v>
      </x:c>
      <x:c r="AS5" s="24" t="n">
        <x:f>IFERROR(Z5/X5*100,0)</x:f>
        <x:v>0.07586102260658474</x:v>
      </x:c>
      <x:c r="AT5" s="26" t="n">
        <x:v>26.7</x:v>
      </x:c>
      <x:c r="AU5" s="26" t="n">
        <x:v>12.4</x:v>
      </x:c>
      <x:c r="AV5" s="26" t="n">
        <x:v>7.8</x:v>
      </x:c>
      <x:c r="AW5" s="26" t="n">
        <x:v>-56</x:v>
      </x:c>
      <x:c r="AX5" s="26" t="n">
        <x:v>13</x:v>
      </x:c>
      <x:c r="AY5" s="26" t="n">
        <x:v>14.4</x:v>
      </x:c>
      <x:c r="AZ5" s="26" t="n">
        <x:v>-20.8</x:v>
      </x:c>
      <x:c r="BA5" s="26" t="n">
        <x:v>100</x:v>
      </x:c>
      <x:c r="BB5" s="22" t="n">
        <x:f>IFERROR(AE5/Z5,0)</x:f>
        <x:v>62607</x:v>
      </x:c>
      <x:c r="BC5" s="17" t="n">
        <x:f>IF(OR(V5="out_of_stock",V5="critical_low_stock"),MAX(0,(14-U5)*T5),0)</x:f>
        <x:v>0</x:v>
      </x:c>
      <x:c r="BD5" s="22" t="n">
        <x:f>IFERROR(BC5*M5,0)</x:f>
        <x:v>0</x:v>
      </x:c>
      <x:c r="BE5" s="17" t="str">
        <x:v>stock_sales_behavior</x:v>
      </x:c>
      <x:c r="BF5" s="17" t="str">
        <x:v>copied_from_uploaded_product2 + synthetic_stock</x:v>
      </x:c>
    </x:row>
    <x:row r="6">
      <x:c r="A6" s="17" t="n">
        <x:v>5</x:v>
      </x:c>
      <x:c r="B6" s="17" t="str">
        <x:v>PRODUCT_STOCK_BEHAVIOR</x:v>
      </x:c>
      <x:c r="C6" s="20" t="n">
        <x:v>46148</x:v>
      </x:c>
      <x:c r="D6" s="17" t="str">
        <x:v>Web</x:v>
      </x:c>
      <x:c r="E6" s="17" t="str">
        <x:v>App</x:v>
      </x:c>
      <x:c r="F6" s="17" t="str">
        <x:v>CRM</x:v>
      </x:c>
      <x:c r="G6" s="17" t="n">
        <x:v>28</x:v>
      </x:c>
      <x:c r="H6" s="17" t="str">
        <x:v>APPLE</x:v>
      </x:c>
      <x:c r="I6" s="17" t="str">
        <x:v>Telefon</x:v>
      </x:c>
      <x:c r="J6" s="17" t="str">
        <x:v>Cep Telefonları</x:v>
      </x:c>
      <x:c r="K6" s="17" t="str">
        <x:v>APPLE iPhone 17 Pro 256 GB Akıllı Telefon Derin Mavi MG8J4TU/A</x:v>
      </x:c>
      <x:c r="L6" s="17" t="str">
        <x:v>1249240</x:v>
      </x:c>
      <x:c r="M6" s="22" t="n">
        <x:v>88358</x:v>
      </x:c>
      <x:c r="N6" s="26" t="n">
        <x:v>-2.2</x:v>
      </x:c>
      <x:c r="O6" s="22" t="n">
        <x:v>67</x:v>
      </x:c>
      <x:c r="P6" s="22" t="n">
        <x:v>27</x:v>
      </x:c>
      <x:c r="Q6" s="22" t="n">
        <x:v>0</x:v>
      </x:c>
      <x:c r="R6" s="17" t="n">
        <x:v>10</x:v>
      </x:c>
      <x:c r="S6" s="22" t="n">
        <x:v>54</x:v>
      </x:c>
      <x:c r="T6" s="24" t="n">
        <x:v>4.1</x:v>
      </x:c>
      <x:c r="U6" s="24" t="n">
        <x:f>IFERROR(O6/T6,0)</x:f>
        <x:v>16.34146341463415</x:v>
      </x:c>
      <x:c r="V6" s="17" t="str">
        <x:f>IF(O6&lt;=0,"out_of_stock",IF(U6&lt;7,"critical_low_stock",IF(U6&gt;60,"overstock","in_stock")))</x:f>
        <x:v>in_stock</x:v>
      </x:c>
      <x:c r="W6" s="17" t="str">
        <x:f>IF(O6&lt;=0,"OOS",IF(AND(U6&lt;7,AC6&gt;=0.5),"High Risk",IF(U6&lt;14,"Medium Risk",IF(U6&gt;60,"Overstock","Healthy"))))</x:f>
        <x:v>Healthy</x:v>
      </x:c>
      <x:c r="X6" s="22" t="n">
        <x:v>6520</x:v>
      </x:c>
      <x:c r="Y6" s="22" t="n">
        <x:v>381</x:v>
      </x:c>
      <x:c r="Z6" s="22" t="n">
        <x:v>13</x:v>
      </x:c>
      <x:c r="AA6" s="24" t="n">
        <x:f>IFERROR(Y6/X6*100,0)</x:f>
        <x:v>5.84355828220859</x:v>
      </x:c>
      <x:c r="AB6" s="26" t="n">
        <x:v>1.8</x:v>
      </x:c>
      <x:c r="AC6" s="24" t="n">
        <x:f>IFERROR(Z6/X6*100,0)</x:f>
        <x:v>0.19938650306748468</x:v>
      </x:c>
      <x:c r="AD6" s="26" t="n">
        <x:v>23.3</x:v>
      </x:c>
      <x:c r="AE6" s="22" t="n">
        <x:f>IFERROR(Z6*M6,0)</x:f>
        <x:v>1148654</x:v>
      </x:c>
      <x:c r="AF6" s="26" t="n">
        <x:v>22.3</x:v>
      </x:c>
      <x:c r="AG6" s="24" t="n">
        <x:v>43</x:v>
      </x:c>
      <x:c r="AH6" s="26" t="n">
        <x:v>0.3</x:v>
      </x:c>
      <x:c r="AI6" s="22" t="n">
        <x:v>323</x:v>
      </x:c>
      <x:c r="AJ6" s="22" t="n">
        <x:v>175</x:v>
      </x:c>
      <x:c r="AK6" s="22" t="n">
        <x:v>146</x:v>
      </x:c>
      <x:c r="AL6" s="22" t="n">
        <x:v>117</x:v>
      </x:c>
      <x:c r="AM6" s="22" t="n">
        <x:v>81</x:v>
      </x:c>
      <x:c r="AN6" s="24" t="n">
        <x:f>IFERROR(AI6/X6*100,0)</x:f>
        <x:v>4.95398773006135</x:v>
      </x:c>
      <x:c r="AO6" s="24" t="n">
        <x:f>IFERROR(AJ6/X6*100,0)</x:f>
        <x:v>2.6840490797546015</x:v>
      </x:c>
      <x:c r="AP6" s="24" t="n">
        <x:f>IFERROR(AK6/X6*100,0)</x:f>
        <x:v>2.2392638036809815</x:v>
      </x:c>
      <x:c r="AQ6" s="24" t="n">
        <x:f>IFERROR(AL6/X6*100,0)</x:f>
        <x:v>1.794478527607362</x:v>
      </x:c>
      <x:c r="AR6" s="24" t="n">
        <x:f>IFERROR(AM6/X6*100,0)</x:f>
        <x:v>1.2423312883435582</x:v>
      </x:c>
      <x:c r="AS6" s="24" t="n">
        <x:f>IFERROR(Z6/X6*100,0)</x:f>
        <x:v>0.19938650306748468</x:v>
      </x:c>
      <x:c r="AT6" s="26" t="n">
        <x:v>4.1</x:v>
      </x:c>
      <x:c r="AU6" s="26" t="n">
        <x:v>12.5</x:v>
      </x:c>
      <x:c r="AV6" s="26" t="n">
        <x:v>4.3</x:v>
      </x:c>
      <x:c r="AW6" s="26" t="n">
        <x:v>-70.8</x:v>
      </x:c>
      <x:c r="AX6" s="26" t="n">
        <x:v>-16.2</x:v>
      </x:c>
      <x:c r="AY6" s="26" t="n">
        <x:v>3.2</x:v>
      </x:c>
      <x:c r="AZ6" s="26" t="n">
        <x:v>0.6</x:v>
      </x:c>
      <x:c r="BA6" s="26" t="n">
        <x:v>28.6</x:v>
      </x:c>
      <x:c r="BB6" s="22" t="n">
        <x:f>IFERROR(AE6/Z6,0)</x:f>
        <x:v>88358</x:v>
      </x:c>
      <x:c r="BC6" s="17" t="n">
        <x:f>IF(OR(V6="out_of_stock",V6="critical_low_stock"),MAX(0,(14-U6)*T6),0)</x:f>
        <x:v>0</x:v>
      </x:c>
      <x:c r="BD6" s="22" t="n">
        <x:f>IFERROR(BC6*M6,0)</x:f>
        <x:v>0</x:v>
      </x:c>
      <x:c r="BE6" s="17" t="str">
        <x:v>stock_sales_behavior</x:v>
      </x:c>
      <x:c r="BF6" s="17" t="str">
        <x:v>copied_from_uploaded_product2 + synthetic_stock</x:v>
      </x:c>
    </x:row>
    <x:row r="7">
      <x:c r="A7" s="17" t="n">
        <x:v>6</x:v>
      </x:c>
      <x:c r="B7" s="17" t="str">
        <x:v>PRODUCT_STOCK_BEHAVIOR</x:v>
      </x:c>
      <x:c r="C7" s="20" t="n">
        <x:v>46149</x:v>
      </x:c>
      <x:c r="D7" s="17" t="str">
        <x:v>App</x:v>
      </x:c>
      <x:c r="E7" s="17" t="str">
        <x:v>Desktop</x:v>
      </x:c>
      <x:c r="F7" s="17" t="str">
        <x:v>Search Paid Generic</x:v>
      </x:c>
      <x:c r="G7" s="17" t="n">
        <x:v>28</x:v>
      </x:c>
      <x:c r="H7" s="17" t="str">
        <x:v>APPLE</x:v>
      </x:c>
      <x:c r="I7" s="17" t="str">
        <x:v>Telefon</x:v>
      </x:c>
      <x:c r="J7" s="17" t="str">
        <x:v>Cep Telefonları</x:v>
      </x:c>
      <x:c r="K7" s="17" t="str">
        <x:v>APPLE iPhone 16 128 GB Akıllı Telefon Beyaz MYE93TU/A</x:v>
      </x:c>
      <x:c r="L7" s="17" t="str">
        <x:v>1239557</x:v>
      </x:c>
      <x:c r="M7" s="22" t="n">
        <x:v>55833</x:v>
      </x:c>
      <x:c r="N7" s="26" t="n">
        <x:v>6.8</x:v>
      </x:c>
      <x:c r="O7" s="22" t="n">
        <x:v>51</x:v>
      </x:c>
      <x:c r="P7" s="22" t="n">
        <x:v>51</x:v>
      </x:c>
      <x:c r="Q7" s="22" t="n">
        <x:v>0</x:v>
      </x:c>
      <x:c r="R7" s="17" t="n">
        <x:v>14</x:v>
      </x:c>
      <x:c r="S7" s="22" t="n">
        <x:v>133</x:v>
      </x:c>
      <x:c r="T7" s="24" t="n">
        <x:v>7.8</x:v>
      </x:c>
      <x:c r="U7" s="24" t="n">
        <x:f>IFERROR(O7/T7,0)</x:f>
        <x:v>6.538461538461538</x:v>
      </x:c>
      <x:c r="V7" s="17" t="str">
        <x:f>IF(O7&lt;=0,"out_of_stock",IF(U7&lt;7,"critical_low_stock",IF(U7&gt;60,"overstock","in_stock")))</x:f>
        <x:v>critical_low_stock</x:v>
      </x:c>
      <x:c r="W7" s="17" t="str">
        <x:f>IF(O7&lt;=0,"OOS",IF(AND(U7&lt;7,AC7&gt;=0.5),"High Risk",IF(U7&lt;14,"Medium Risk",IF(U7&gt;60,"Overstock","Healthy"))))</x:f>
        <x:v>High Risk</x:v>
      </x:c>
      <x:c r="X7" s="22" t="n">
        <x:v>6440</x:v>
      </x:c>
      <x:c r="Y7" s="22" t="n">
        <x:v>856</x:v>
      </x:c>
      <x:c r="Z7" s="22" t="n">
        <x:v>48</x:v>
      </x:c>
      <x:c r="AA7" s="24" t="n">
        <x:f>IFERROR(Y7/X7*100,0)</x:f>
        <x:v>13.291925465838508</x:v>
      </x:c>
      <x:c r="AB7" s="26" t="n">
        <x:v>12.4</x:v>
      </x:c>
      <x:c r="AC7" s="24" t="n">
        <x:f>IFERROR(Z7/X7*100,0)</x:f>
        <x:v>0.7453416149068323</x:v>
      </x:c>
      <x:c r="AD7" s="26" t="n">
        <x:v>73</x:v>
      </x:c>
      <x:c r="AE7" s="22" t="n">
        <x:f>IFERROR(Z7*M7,0)</x:f>
        <x:v>2679984</x:v>
      </x:c>
      <x:c r="AF7" s="26" t="n">
        <x:v>114.1</x:v>
      </x:c>
      <x:c r="AG7" s="24" t="n">
        <x:v>48</x:v>
      </x:c>
      <x:c r="AH7" s="26" t="n">
        <x:v>1</x:v>
      </x:c>
      <x:c r="AI7" s="22" t="n">
        <x:v>766</x:v>
      </x:c>
      <x:c r="AJ7" s="22" t="n">
        <x:v>234</x:v>
      </x:c>
      <x:c r="AK7" s="22" t="n">
        <x:v>193</x:v>
      </x:c>
      <x:c r="AL7" s="22" t="n">
        <x:v>171</x:v>
      </x:c>
      <x:c r="AM7" s="22" t="n">
        <x:v>114</x:v>
      </x:c>
      <x:c r="AN7" s="24" t="n">
        <x:f>IFERROR(AI7/X7*100,0)</x:f>
        <x:v>11.894409937888199</x:v>
      </x:c>
      <x:c r="AO7" s="24" t="n">
        <x:f>IFERROR(AJ7/X7*100,0)</x:f>
        <x:v>3.633540372670808</x:v>
      </x:c>
      <x:c r="AP7" s="24" t="n">
        <x:f>IFERROR(AK7/X7*100,0)</x:f>
        <x:v>2.9968944099378882</x:v>
      </x:c>
      <x:c r="AQ7" s="24" t="n">
        <x:f>IFERROR(AL7/X7*100,0)</x:f>
        <x:v>2.6552795031055902</x:v>
      </x:c>
      <x:c r="AR7" s="24" t="n">
        <x:f>IFERROR(AM7/X7*100,0)</x:f>
        <x:v>1.7701863354037266</x:v>
      </x:c>
      <x:c r="AS7" s="24" t="n">
        <x:f>IFERROR(Z7/X7*100,0)</x:f>
        <x:v>0.7453416149068323</x:v>
      </x:c>
      <x:c r="AT7" s="26" t="n">
        <x:v>27.9</x:v>
      </x:c>
      <x:c r="AU7" s="26" t="n">
        <x:v>45.7</x:v>
      </x:c>
      <x:c r="AV7" s="26" t="n">
        <x:v>41.6</x:v>
      </x:c>
      <x:c r="AW7" s="26" t="n">
        <x:v>-60.8</x:v>
      </x:c>
      <x:c r="AX7" s="26" t="n">
        <x:v>-19.9</x:v>
      </x:c>
      <x:c r="AY7" s="26" t="n">
        <x:v>7.5</x:v>
      </x:c>
      <x:c r="AZ7" s="26" t="n">
        <x:v>-2.6</x:v>
      </x:c>
      <x:c r="BA7" s="26" t="n">
        <x:v>114.3</x:v>
      </x:c>
      <x:c r="BB7" s="22" t="n">
        <x:f>IFERROR(AE7/Z7,0)</x:f>
        <x:v>55833</x:v>
      </x:c>
      <x:c r="BC7" s="17" t="n">
        <x:f>IF(OR(V7="out_of_stock",V7="critical_low_stock"),MAX(0,(14-U7)*T7),0)</x:f>
        <x:v>58.2</x:v>
      </x:c>
      <x:c r="BD7" s="22" t="n">
        <x:f>IFERROR(BC7*M7,0)</x:f>
        <x:v>3249480.6</x:v>
      </x:c>
      <x:c r="BE7" s="17" t="str">
        <x:v>stock_sales_behavior</x:v>
      </x:c>
      <x:c r="BF7" s="17" t="str">
        <x:v>copied_from_uploaded_product2 + synthetic_stock</x:v>
      </x:c>
    </x:row>
    <x:row r="8">
      <x:c r="A8" s="17" t="n">
        <x:v>7</x:v>
      </x:c>
      <x:c r="B8" s="17" t="str">
        <x:v>PRODUCT_STOCK_BEHAVIOR</x:v>
      </x:c>
      <x:c r="C8" s="20" t="n">
        <x:v>46150</x:v>
      </x:c>
      <x:c r="D8" s="17" t="str">
        <x:v>App</x:v>
      </x:c>
      <x:c r="E8" s="17" t="str">
        <x:v>Mobile</x:v>
      </x:c>
      <x:c r="F8" s="17" t="str">
        <x:v>Direct</x:v>
      </x:c>
      <x:c r="G8" s="17" t="n">
        <x:v>28</x:v>
      </x:c>
      <x:c r="H8" s="17" t="str">
        <x:v>APPLE</x:v>
      </x:c>
      <x:c r="I8" s="17" t="str">
        <x:v>Telefon</x:v>
      </x:c>
      <x:c r="J8" s="17" t="str">
        <x:v>Cep Telefonları</x:v>
      </x:c>
      <x:c r="K8" s="17" t="str">
        <x:v>APPLE iPhone 17 Pro Max 256 GB Akıllı Telefon Kozmik Turuncu MFYN4TU/A</x:v>
      </x:c>
      <x:c r="L8" s="17" t="str">
        <x:v>1249246</x:v>
      </x:c>
      <x:c r="M8" s="22" t="n">
        <x:v>97923</x:v>
      </x:c>
      <x:c r="N8" s="26" t="n">
        <x:v>2.5</x:v>
      </x:c>
      <x:c r="O8" s="22" t="n">
        <x:v>54</x:v>
      </x:c>
      <x:c r="P8" s="22" t="n">
        <x:v>35</x:v>
      </x:c>
      <x:c r="Q8" s="22" t="n">
        <x:v>0</x:v>
      </x:c>
      <x:c r="R8" s="17" t="n">
        <x:v>3</x:v>
      </x:c>
      <x:c r="S8" s="22" t="n">
        <x:v>7</x:v>
      </x:c>
      <x:c r="T8" s="24" t="n">
        <x:v>1.1</x:v>
      </x:c>
      <x:c r="U8" s="24" t="n">
        <x:f>IFERROR(O8/T8,0)</x:f>
        <x:v>49.090909090909086</x:v>
      </x:c>
      <x:c r="V8" s="17" t="str">
        <x:f>IF(O8&lt;=0,"out_of_stock",IF(U8&lt;7,"critical_low_stock",IF(U8&gt;60,"overstock","in_stock")))</x:f>
        <x:v>in_stock</x:v>
      </x:c>
      <x:c r="W8" s="17" t="str">
        <x:f>IF(O8&lt;=0,"OOS",IF(AND(U8&lt;7,AC8&gt;=0.5),"High Risk",IF(U8&lt;14,"Medium Risk",IF(U8&gt;60,"Overstock","Healthy"))))</x:f>
        <x:v>Healthy</x:v>
      </x:c>
      <x:c r="X8" s="22" t="n">
        <x:v>5674</x:v>
      </x:c>
      <x:c r="Y8" s="22" t="n">
        <x:v>381</x:v>
      </x:c>
      <x:c r="Z8" s="22" t="n">
        <x:v>4</x:v>
      </x:c>
      <x:c r="AA8" s="24" t="n">
        <x:f>IFERROR(Y8/X8*100,0)</x:f>
        <x:v>6.714839619316179</x:v>
      </x:c>
      <x:c r="AB8" s="26" t="n">
        <x:v>17.2</x:v>
      </x:c>
      <x:c r="AC8" s="24" t="n">
        <x:f>IFERROR(Z8/X8*100,0)</x:f>
        <x:v>0.07049700387733521</x:v>
      </x:c>
      <x:c r="AD8" s="26" t="n">
        <x:v>51.4</x:v>
      </x:c>
      <x:c r="AE8" s="22" t="n">
        <x:f>IFERROR(Z8*M8,0)</x:f>
        <x:v>391692</x:v>
      </x:c>
      <x:c r="AF8" s="26" t="n">
        <x:v>60.9</x:v>
      </x:c>
      <x:c r="AG8" s="24" t="n">
        <x:v>46</x:v>
      </x:c>
      <x:c r="AH8" s="26" t="n">
        <x:v>2</x:v>
      </x:c>
      <x:c r="AI8" s="22" t="n">
        <x:v>307</x:v>
      </x:c>
      <x:c r="AJ8" s="22" t="n">
        <x:v>176</x:v>
      </x:c>
      <x:c r="AK8" s="22" t="n">
        <x:v>100</x:v>
      </x:c>
      <x:c r="AL8" s="22" t="n">
        <x:v>92</x:v>
      </x:c>
      <x:c r="AM8" s="22" t="n">
        <x:v>62</x:v>
      </x:c>
      <x:c r="AN8" s="24" t="n">
        <x:f>IFERROR(AI8/X8*100,0)</x:f>
        <x:v>5.410645047585478</x:v>
      </x:c>
      <x:c r="AO8" s="24" t="n">
        <x:f>IFERROR(AJ8/X8*100,0)</x:f>
        <x:v>3.1018681706027493</x:v>
      </x:c>
      <x:c r="AP8" s="24" t="n">
        <x:f>IFERROR(AK8/X8*100,0)</x:f>
        <x:v>1.7624250969333801</x:v>
      </x:c>
      <x:c r="AQ8" s="24" t="n">
        <x:f>IFERROR(AL8/X8*100,0)</x:f>
        <x:v>1.6214310891787098</x:v>
      </x:c>
      <x:c r="AR8" s="24" t="n">
        <x:f>IFERROR(AM8/X8*100,0)</x:f>
        <x:v>1.0927035600986958</x:v>
      </x:c>
      <x:c r="AS8" s="24" t="n">
        <x:f>IFERROR(Z8/X8*100,0)</x:f>
        <x:v>0.07049700387733521</x:v>
      </x:c>
      <x:c r="AT8" s="26" t="n">
        <x:v>-2.6</x:v>
      </x:c>
      <x:c r="AU8" s="26" t="n">
        <x:v>18.6</x:v>
      </x:c>
      <x:c r="AV8" s="26" t="n">
        <x:v>18.4</x:v>
      </x:c>
      <x:c r="AW8" s="26" t="n">
        <x:v>-64.9</x:v>
      </x:c>
      <x:c r="AX8" s="26" t="n">
        <x:v>-7.3</x:v>
      </x:c>
      <x:c r="AY8" s="26" t="n">
        <x:v>19.3</x:v>
      </x:c>
      <x:c r="AZ8" s="26" t="n">
        <x:v>1.3</x:v>
      </x:c>
      <x:c r="BA8" s="26" t="n">
        <x:v>50</x:v>
      </x:c>
      <x:c r="BB8" s="22" t="n">
        <x:f>IFERROR(AE8/Z8,0)</x:f>
        <x:v>97923</x:v>
      </x:c>
      <x:c r="BC8" s="17" t="n">
        <x:f>IF(OR(V8="out_of_stock",V8="critical_low_stock"),MAX(0,(14-U8)*T8),0)</x:f>
        <x:v>0</x:v>
      </x:c>
      <x:c r="BD8" s="22" t="n">
        <x:f>IFERROR(BC8*M8,0)</x:f>
        <x:v>0</x:v>
      </x:c>
      <x:c r="BE8" s="17" t="str">
        <x:v>stock_sales_behavior</x:v>
      </x:c>
      <x:c r="BF8" s="17" t="str">
        <x:v>copied_from_uploaded_product2 + synthetic_stock</x:v>
      </x:c>
    </x:row>
    <x:row r="9">
      <x:c r="A9" s="17" t="n">
        <x:v>8</x:v>
      </x:c>
      <x:c r="B9" s="17" t="str">
        <x:v>PRODUCT_STOCK_BEHAVIOR</x:v>
      </x:c>
      <x:c r="C9" s="20" t="n">
        <x:v>46151</x:v>
      </x:c>
      <x:c r="D9" s="17" t="str">
        <x:v>Mobile Web</x:v>
      </x:c>
      <x:c r="E9" s="17" t="str">
        <x:v>App</x:v>
      </x:c>
      <x:c r="F9" s="17" t="str">
        <x:v>Price Comparison</x:v>
      </x:c>
      <x:c r="G9" s="17" t="n">
        <x:v>28</x:v>
      </x:c>
      <x:c r="H9" s="17" t="str">
        <x:v>APPLE</x:v>
      </x:c>
      <x:c r="I9" s="17" t="str">
        <x:v>Telefon</x:v>
      </x:c>
      <x:c r="J9" s="17" t="str">
        <x:v>Cep Telefonları</x:v>
      </x:c>
      <x:c r="K9" s="17" t="str">
        <x:v>APPLE iPhone 15 128 GB Akıllı Telefon Mavi MTP43TU/A</x:v>
      </x:c>
      <x:c r="L9" s="17" t="str">
        <x:v>1232436</x:v>
      </x:c>
      <x:c r="M9" s="22" t="n">
        <x:v>41846</x:v>
      </x:c>
      <x:c r="N9" s="26" t="n">
        <x:v>-17.4</x:v>
      </x:c>
      <x:c r="O9" s="22" t="n">
        <x:v>43</x:v>
      </x:c>
      <x:c r="P9" s="22" t="n">
        <x:v>40</x:v>
      </x:c>
      <x:c r="Q9" s="22" t="n">
        <x:v>0</x:v>
      </x:c>
      <x:c r="R9" s="17" t="n">
        <x:v>3</x:v>
      </x:c>
      <x:c r="S9" s="22" t="n">
        <x:v>19</x:v>
      </x:c>
      <x:c r="T9" s="24" t="n">
        <x:v>3.1</x:v>
      </x:c>
      <x:c r="U9" s="24" t="n">
        <x:f>IFERROR(O9/T9,0)</x:f>
        <x:v>13.870967741935484</x:v>
      </x:c>
      <x:c r="V9" s="17" t="str">
        <x:f>IF(O9&lt;=0,"out_of_stock",IF(U9&lt;7,"critical_low_stock",IF(U9&gt;60,"overstock","in_stock")))</x:f>
        <x:v>in_stock</x:v>
      </x:c>
      <x:c r="W9" s="17" t="str">
        <x:f>IF(O9&lt;=0,"OOS",IF(AND(U9&lt;7,AC9&gt;=0.5),"High Risk",IF(U9&lt;14,"Medium Risk",IF(U9&gt;60,"Overstock","Healthy"))))</x:f>
        <x:v>Medium Risk</x:v>
      </x:c>
      <x:c r="X9" s="22" t="n">
        <x:v>5568</x:v>
      </x:c>
      <x:c r="Y9" s="22" t="n">
        <x:v>568</x:v>
      </x:c>
      <x:c r="Z9" s="22" t="n">
        <x:v>7</x:v>
      </x:c>
      <x:c r="AA9" s="24" t="n">
        <x:f>IFERROR(Y9/X9*100,0)</x:f>
        <x:v>10.201149425287356</x:v>
      </x:c>
      <x:c r="AB9" s="26" t="n">
        <x:v>-7</x:v>
      </x:c>
      <x:c r="AC9" s="24" t="n">
        <x:f>IFERROR(Z9/X9*100,0)</x:f>
        <x:v>0.1257183908045977</x:v>
      </x:c>
      <x:c r="AD9" s="26" t="n">
        <x:v>23.9</x:v>
      </x:c>
      <x:c r="AE9" s="22" t="n">
        <x:f>IFERROR(Z9*M9,0)</x:f>
        <x:v>292922</x:v>
      </x:c>
      <x:c r="AF9" s="26" t="n">
        <x:v>9.1</x:v>
      </x:c>
      <x:c r="AG9" s="24" t="n">
        <x:v>62</x:v>
      </x:c>
      <x:c r="AH9" s="26" t="n">
        <x:v>4.7</x:v>
      </x:c>
      <x:c r="AI9" s="22" t="n">
        <x:v>328</x:v>
      </x:c>
      <x:c r="AJ9" s="22" t="n">
        <x:v>211</x:v>
      </x:c>
      <x:c r="AK9" s="22" t="n">
        <x:v>178</x:v>
      </x:c>
      <x:c r="AL9" s="22" t="n">
        <x:v>124</x:v>
      </x:c>
      <x:c r="AM9" s="22" t="n">
        <x:v>79</x:v>
      </x:c>
      <x:c r="AN9" s="24" t="n">
        <x:f>IFERROR(AI9/X9*100,0)</x:f>
        <x:v>5.890804597701149</x:v>
      </x:c>
      <x:c r="AO9" s="24" t="n">
        <x:f>IFERROR(AJ9/X9*100,0)</x:f>
        <x:v>3.789511494252874</x:v>
      </x:c>
      <x:c r="AP9" s="24" t="n">
        <x:f>IFERROR(AK9/X9*100,0)</x:f>
        <x:v>3.19683908045977</x:v>
      </x:c>
      <x:c r="AQ9" s="24" t="n">
        <x:f>IFERROR(AL9/X9*100,0)</x:f>
        <x:v>2.227011494252874</x:v>
      </x:c>
      <x:c r="AR9" s="24" t="n">
        <x:f>IFERROR(AM9/X9*100,0)</x:f>
        <x:v>1.4188218390804597</x:v>
      </x:c>
      <x:c r="AS9" s="24" t="n">
        <x:f>IFERROR(Z9/X9*100,0)</x:f>
        <x:v>0.1257183908045977</x:v>
      </x:c>
      <x:c r="AT9" s="26" t="n">
        <x:v>2.2</x:v>
      </x:c>
      <x:c r="AU9" s="26" t="n">
        <x:v>-6.6</x:v>
      </x:c>
      <x:c r="AV9" s="26" t="n">
        <x:v>2.7</x:v>
      </x:c>
      <x:c r="AW9" s="26" t="n">
        <x:v>8.6</x:v>
      </x:c>
      <x:c r="AX9" s="26" t="n">
        <x:v>6.4</x:v>
      </x:c>
      <x:c r="AY9" s="26" t="n">
        <x:v>6</x:v>
      </x:c>
      <x:c r="AZ9" s="26" t="n">
        <x:v>-2.9</x:v>
      </x:c>
      <x:c r="BA9" s="26" t="n">
        <x:v>25</x:v>
      </x:c>
      <x:c r="BB9" s="22" t="n">
        <x:f>IFERROR(AE9/Z9,0)</x:f>
        <x:v>41846</x:v>
      </x:c>
      <x:c r="BC9" s="17" t="n">
        <x:f>IF(OR(V9="out_of_stock",V9="critical_low_stock"),MAX(0,(14-U9)*T9),0)</x:f>
        <x:v>0</x:v>
      </x:c>
      <x:c r="BD9" s="22" t="n">
        <x:f>IFERROR(BC9*M9,0)</x:f>
        <x:v>0</x:v>
      </x:c>
      <x:c r="BE9" s="17" t="str">
        <x:v>stock_sales_behavior</x:v>
      </x:c>
      <x:c r="BF9" s="17" t="str">
        <x:v>copied_from_uploaded_product2 + synthetic_stock</x:v>
      </x:c>
    </x:row>
    <x:row r="10">
      <x:c r="A10" s="17" t="n">
        <x:v>9</x:v>
      </x:c>
      <x:c r="B10" s="17" t="str">
        <x:v>PRODUCT_STOCK_BEHAVIOR</x:v>
      </x:c>
      <x:c r="C10" s="20" t="n">
        <x:v>46152</x:v>
      </x:c>
      <x:c r="D10" s="17" t="str">
        <x:v>App</x:v>
      </x:c>
      <x:c r="E10" s="17" t="str">
        <x:v>App</x:v>
      </x:c>
      <x:c r="F10" s="17" t="str">
        <x:v>Search Paid Brand</x:v>
      </x:c>
      <x:c r="G10" s="17" t="n">
        <x:v>28</x:v>
      </x:c>
      <x:c r="H10" s="17" t="str">
        <x:v>APPLE</x:v>
      </x:c>
      <x:c r="I10" s="17" t="str">
        <x:v>Telefon</x:v>
      </x:c>
      <x:c r="J10" s="17" t="str">
        <x:v>Cep Telefonları</x:v>
      </x:c>
      <x:c r="K10" s="17" t="str">
        <x:v>APPLE iPhone 15 256 GB Akıllı Telefon Siyah MTP63TU/A</x:v>
      </x:c>
      <x:c r="L10" s="17" t="str">
        <x:v>1232440</x:v>
      </x:c>
      <x:c r="M10" s="22" t="n">
        <x:v>47074</x:v>
      </x:c>
      <x:c r="N10" s="26" t="n">
        <x:v>24.8</x:v>
      </x:c>
      <x:c r="O10" s="22" t="n">
        <x:v>136</x:v>
      </x:c>
      <x:c r="P10" s="22" t="n">
        <x:v>119</x:v>
      </x:c>
      <x:c r="Q10" s="22" t="n">
        <x:v>0</x:v>
      </x:c>
      <x:c r="R10" s="17" t="n">
        <x:v>10</x:v>
      </x:c>
      <x:c r="S10" s="22" t="n">
        <x:v>36</x:v>
      </x:c>
      <x:c r="T10" s="24" t="n">
        <x:v>2.7</x:v>
      </x:c>
      <x:c r="U10" s="24" t="n">
        <x:f>IFERROR(O10/T10,0)</x:f>
        <x:v>50.37037037037037</x:v>
      </x:c>
      <x:c r="V10" s="17" t="str">
        <x:f>IF(O10&lt;=0,"out_of_stock",IF(U10&lt;7,"critical_low_stock",IF(U10&gt;60,"overstock","in_stock")))</x:f>
        <x:v>in_stock</x:v>
      </x:c>
      <x:c r="W10" s="17" t="str">
        <x:f>IF(O10&lt;=0,"OOS",IF(AND(U10&lt;7,AC10&gt;=0.5),"High Risk",IF(U10&lt;14,"Medium Risk",IF(U10&gt;60,"Overstock","Healthy"))))</x:f>
        <x:v>Healthy</x:v>
      </x:c>
      <x:c r="X10" s="22" t="n">
        <x:v>5086</x:v>
      </x:c>
      <x:c r="Y10" s="22" t="n">
        <x:v>354</x:v>
      </x:c>
      <x:c r="Z10" s="22" t="n">
        <x:v>8</x:v>
      </x:c>
      <x:c r="AA10" s="24" t="n">
        <x:f>IFERROR(Y10/X10*100,0)</x:f>
        <x:v>6.960283130161226</x:v>
      </x:c>
      <x:c r="AB10" s="26" t="n">
        <x:v>6.3</x:v>
      </x:c>
      <x:c r="AC10" s="24" t="n">
        <x:f>IFERROR(Z10/X10*100,0)</x:f>
        <x:v>0.15729453401494298</x:v>
      </x:c>
      <x:c r="AD10" s="26" t="n">
        <x:v>-36</x:v>
      </x:c>
      <x:c r="AE10" s="22" t="n">
        <x:f>IFERROR(Z10*M10,0)</x:f>
        <x:v>376592</x:v>
      </x:c>
      <x:c r="AF10" s="26" t="n">
        <x:v>-18.6</x:v>
      </x:c>
      <x:c r="AG10" s="24" t="n">
        <x:v>42</x:v>
      </x:c>
      <x:c r="AH10" s="26" t="n">
        <x:v>-1.9</x:v>
      </x:c>
      <x:c r="AI10" s="22" t="n">
        <x:v>230</x:v>
      </x:c>
      <x:c r="AJ10" s="22" t="n">
        <x:v>76</x:v>
      </x:c>
      <x:c r="AK10" s="22" t="n">
        <x:v>39</x:v>
      </x:c>
      <x:c r="AL10" s="22" t="n">
        <x:v>33</x:v>
      </x:c>
      <x:c r="AM10" s="22" t="n">
        <x:v>23</x:v>
      </x:c>
      <x:c r="AN10" s="24" t="n">
        <x:f>IFERROR(AI10/X10*100,0)</x:f>
        <x:v>4.522217852929611</x:v>
      </x:c>
      <x:c r="AO10" s="24" t="n">
        <x:f>IFERROR(AJ10/X10*100,0)</x:f>
        <x:v>1.4942980731419582</x:v>
      </x:c>
      <x:c r="AP10" s="24" t="n">
        <x:f>IFERROR(AK10/X10*100,0)</x:f>
        <x:v>0.766810853322847</x:v>
      </x:c>
      <x:c r="AQ10" s="24" t="n">
        <x:f>IFERROR(AL10/X10*100,0)</x:f>
        <x:v>0.6488399528116398</x:v>
      </x:c>
      <x:c r="AR10" s="24" t="n">
        <x:f>IFERROR(AM10/X10*100,0)</x:f>
        <x:v>0.4522217852929611</x:v>
      </x:c>
      <x:c r="AS10" s="24" t="n">
        <x:f>IFERROR(Z10/X10*100,0)</x:f>
        <x:v>0.15729453401494298</x:v>
      </x:c>
      <x:c r="AT10" s="26" t="n">
        <x:v>13.6</x:v>
      </x:c>
      <x:c r="AU10" s="26" t="n">
        <x:v>17.7</x:v>
      </x:c>
      <x:c r="AV10" s="26" t="n">
        <x:v>12.3</x:v>
      </x:c>
      <x:c r="AW10" s="26" t="n">
        <x:v>6.5</x:v>
      </x:c>
      <x:c r="AX10" s="26" t="n">
        <x:v>10.1</x:v>
      </x:c>
      <x:c r="AY10" s="26" t="n">
        <x:v>-21.8</x:v>
      </x:c>
      <x:c r="AZ10" s="26" t="n">
        <x:v>-24.3</x:v>
      </x:c>
      <x:c r="BA10" s="26" t="n">
        <x:v>-28.6</x:v>
      </x:c>
      <x:c r="BB10" s="22" t="n">
        <x:f>IFERROR(AE10/Z10,0)</x:f>
        <x:v>47074</x:v>
      </x:c>
      <x:c r="BC10" s="17" t="n">
        <x:f>IF(OR(V10="out_of_stock",V10="critical_low_stock"),MAX(0,(14-U10)*T10),0)</x:f>
        <x:v>0</x:v>
      </x:c>
      <x:c r="BD10" s="22" t="n">
        <x:f>IFERROR(BC10*M10,0)</x:f>
        <x:v>0</x:v>
      </x:c>
      <x:c r="BE10" s="17" t="str">
        <x:v>stock_sales_behavior</x:v>
      </x:c>
      <x:c r="BF10" s="17" t="str">
        <x:v>copied_from_uploaded_product2 + synthetic_stock</x:v>
      </x:c>
    </x:row>
    <x:row r="11">
      <x:c r="A11" s="17" t="n">
        <x:v>10</x:v>
      </x:c>
      <x:c r="B11" s="17" t="str">
        <x:v>PRODUCT_STOCK_BEHAVIOR</x:v>
      </x:c>
      <x:c r="C11" s="20" t="n">
        <x:v>46153</x:v>
      </x:c>
      <x:c r="D11" s="17" t="str">
        <x:v>App</x:v>
      </x:c>
      <x:c r="E11" s="17" t="str">
        <x:v>Mobile</x:v>
      </x:c>
      <x:c r="F11" s="17" t="str">
        <x:v>Search Paid Generic</x:v>
      </x:c>
      <x:c r="G11" s="17" t="n">
        <x:v>28</x:v>
      </x:c>
      <x:c r="H11" s="17" t="str">
        <x:v>APPLE</x:v>
      </x:c>
      <x:c r="I11" s="17" t="str">
        <x:v>Telefon</x:v>
      </x:c>
      <x:c r="J11" s="17" t="str">
        <x:v>Cep Telefonları</x:v>
      </x:c>
      <x:c r="K11" s="17" t="str">
        <x:v>APPLE iPhone 16 128 GB Akıllı Telefon Laciverttaş MYEC3TU/A</x:v>
      </x:c>
      <x:c r="L11" s="17" t="str">
        <x:v>1239562</x:v>
      </x:c>
      <x:c r="M11" s="22" t="n">
        <x:v>57906</x:v>
      </x:c>
      <x:c r="N11" s="26" t="n">
        <x:v>-10.4</x:v>
      </x:c>
      <x:c r="O11" s="22" t="n">
        <x:v>61</x:v>
      </x:c>
      <x:c r="P11" s="22" t="n">
        <x:v>34</x:v>
      </x:c>
      <x:c r="Q11" s="22" t="n">
        <x:v>0</x:v>
      </x:c>
      <x:c r="R11" s="17" t="n">
        <x:v>14</x:v>
      </x:c>
      <x:c r="S11" s="22" t="n">
        <x:v>29</x:v>
      </x:c>
      <x:c r="T11" s="24" t="n">
        <x:v>1.7</x:v>
      </x:c>
      <x:c r="U11" s="24" t="n">
        <x:f>IFERROR(O11/T11,0)</x:f>
        <x:v>35.88235294117647</x:v>
      </x:c>
      <x:c r="V11" s="17" t="str">
        <x:f>IF(O11&lt;=0,"out_of_stock",IF(U11&lt;7,"critical_low_stock",IF(U11&gt;60,"overstock","in_stock")))</x:f>
        <x:v>in_stock</x:v>
      </x:c>
      <x:c r="W11" s="17" t="str">
        <x:f>IF(O11&lt;=0,"OOS",IF(AND(U11&lt;7,AC11&gt;=0.5),"High Risk",IF(U11&lt;14,"Medium Risk",IF(U11&gt;60,"Overstock","Healthy"))))</x:f>
        <x:v>Healthy</x:v>
      </x:c>
      <x:c r="X11" s="22" t="n">
        <x:v>5029</x:v>
      </x:c>
      <x:c r="Y11" s="22" t="n">
        <x:v>380</x:v>
      </x:c>
      <x:c r="Z11" s="22" t="n">
        <x:v>9</x:v>
      </x:c>
      <x:c r="AA11" s="24" t="n">
        <x:f>IFERROR(Y11/X11*100,0)</x:f>
        <x:v>7.556174189699741</x:v>
      </x:c>
      <x:c r="AB11" s="26" t="n">
        <x:v>0.9</x:v>
      </x:c>
      <x:c r="AC11" s="24" t="n">
        <x:f>IFERROR(Z11/X11*100,0)</x:f>
        <x:v>0.1789620202823623</x:v>
      </x:c>
      <x:c r="AD11" s="26" t="n">
        <x:v>68.6</x:v>
      </x:c>
      <x:c r="AE11" s="22" t="n">
        <x:f>IFERROR(Z11*M11,0)</x:f>
        <x:v>521154</x:v>
      </x:c>
      <x:c r="AF11" s="26" t="n">
        <x:v>36.9</x:v>
      </x:c>
      <x:c r="AG11" s="24" t="n">
        <x:v>52</x:v>
      </x:c>
      <x:c r="AH11" s="26" t="n">
        <x:v>-6</x:v>
      </x:c>
      <x:c r="AI11" s="22" t="n">
        <x:v>281</x:v>
      </x:c>
      <x:c r="AJ11" s="22" t="n">
        <x:v>136</x:v>
      </x:c>
      <x:c r="AK11" s="22" t="n">
        <x:v>74</x:v>
      </x:c>
      <x:c r="AL11" s="22" t="n">
        <x:v>65</x:v>
      </x:c>
      <x:c r="AM11" s="22" t="n">
        <x:v>38</x:v>
      </x:c>
      <x:c r="AN11" s="24" t="n">
        <x:f>IFERROR(AI11/X11*100,0)</x:f>
        <x:v>5.587591966593757</x:v>
      </x:c>
      <x:c r="AO11" s="24" t="n">
        <x:f>IFERROR(AJ11/X11*100,0)</x:f>
        <x:v>2.704314973155697</x:v>
      </x:c>
      <x:c r="AP11" s="24" t="n">
        <x:f>IFERROR(AK11/X11*100,0)</x:f>
        <x:v>1.4714655000994235</x:v>
      </x:c>
      <x:c r="AQ11" s="24" t="n">
        <x:f>IFERROR(AL11/X11*100,0)</x:f>
        <x:v>1.292503479817061</x:v>
      </x:c>
      <x:c r="AR11" s="24" t="n">
        <x:f>IFERROR(AM11/X11*100,0)</x:f>
        <x:v>0.7556174189699741</x:v>
      </x:c>
      <x:c r="AS11" s="24" t="n">
        <x:f>IFERROR(Z11/X11*100,0)</x:f>
        <x:v>0.1789620202823623</x:v>
      </x:c>
      <x:c r="AT11" s="26" t="n">
        <x:v>-7.6</x:v>
      </x:c>
      <x:c r="AU11" s="26" t="n">
        <x:v>-11.9</x:v>
      </x:c>
      <x:c r="AV11" s="26" t="n">
        <x:v>-20.7</x:v>
      </x:c>
      <x:c r="AW11" s="26" t="n">
        <x:v>-9.5</x:v>
      </x:c>
      <x:c r="AX11" s="26" t="n">
        <x:v>8</x:v>
      </x:c>
      <x:c r="AY11" s="26" t="n">
        <x:v>-20.1</x:v>
      </x:c>
      <x:c r="AZ11" s="26" t="n">
        <x:v>-26.4</x:v>
      </x:c>
      <x:c r="BA11" s="26" t="n">
        <x:v>50</x:v>
      </x:c>
      <x:c r="BB11" s="22" t="n">
        <x:f>IFERROR(AE11/Z11,0)</x:f>
        <x:v>57906</x:v>
      </x:c>
      <x:c r="BC11" s="17" t="n">
        <x:f>IF(OR(V11="out_of_stock",V11="critical_low_stock"),MAX(0,(14-U11)*T11),0)</x:f>
        <x:v>0</x:v>
      </x:c>
      <x:c r="BD11" s="22" t="n">
        <x:f>IFERROR(BC11*M11,0)</x:f>
        <x:v>0</x:v>
      </x:c>
      <x:c r="BE11" s="17" t="str">
        <x:v>stock_sales_behavior</x:v>
      </x:c>
      <x:c r="BF11" s="17" t="str">
        <x:v>copied_from_uploaded_product2 + synthetic_stock</x:v>
      </x:c>
    </x:row>
    <x:row r="12">
      <x:c r="A12" s="17" t="n">
        <x:v>11</x:v>
      </x:c>
      <x:c r="B12" s="17" t="str">
        <x:v>PRODUCT_STOCK_BEHAVIOR</x:v>
      </x:c>
      <x:c r="C12" s="20" t="n">
        <x:v>46154</x:v>
      </x:c>
      <x:c r="D12" s="17" t="str">
        <x:v>Web</x:v>
      </x:c>
      <x:c r="E12" s="17" t="str">
        <x:v>Mobile</x:v>
      </x:c>
      <x:c r="F12" s="17" t="str">
        <x:v>Search Organic Generic</x:v>
      </x:c>
      <x:c r="G12" s="17" t="n">
        <x:v>28</x:v>
      </x:c>
      <x:c r="H12" s="17" t="str">
        <x:v>APPLE</x:v>
      </x:c>
      <x:c r="I12" s="17" t="str">
        <x:v>Telefon</x:v>
      </x:c>
      <x:c r="J12" s="17" t="str">
        <x:v>Cep Telefonları</x:v>
      </x:c>
      <x:c r="K12" s="17" t="str">
        <x:v>APPLE iPhone 17 Pro 256 GB Akıllı Telefon Gümüş MG8G4TU/A</x:v>
      </x:c>
      <x:c r="L12" s="17" t="str">
        <x:v>1249236</x:v>
      </x:c>
      <x:c r="M12" s="22" t="n">
        <x:v>89573</x:v>
      </x:c>
      <x:c r="N12" s="26" t="n">
        <x:v>0.2</x:v>
      </x:c>
      <x:c r="O12" s="22" t="n">
        <x:v>171</x:v>
      </x:c>
      <x:c r="P12" s="22" t="n">
        <x:v>259</x:v>
      </x:c>
      <x:c r="Q12" s="22" t="n">
        <x:v>0</x:v>
      </x:c>
      <x:c r="R12" s="17" t="n">
        <x:v>7</x:v>
      </x:c>
      <x:c r="S12" s="22" t="n">
        <x:v>18</x:v>
      </x:c>
      <x:c r="T12" s="24" t="n">
        <x:v>1.8</x:v>
      </x:c>
      <x:c r="U12" s="24" t="n">
        <x:f>IFERROR(O12/T12,0)</x:f>
        <x:v>95</x:v>
      </x:c>
      <x:c r="V12" s="17" t="str">
        <x:f>IF(O12&lt;=0,"out_of_stock",IF(U12&lt;7,"critical_low_stock",IF(U12&gt;60,"overstock","in_stock")))</x:f>
        <x:v>overstock</x:v>
      </x:c>
      <x:c r="W12" s="17" t="str">
        <x:f>IF(O12&lt;=0,"OOS",IF(AND(U12&lt;7,AC12&gt;=0.5),"High Risk",IF(U12&lt;14,"Medium Risk",IF(U12&gt;60,"Overstock","Healthy"))))</x:f>
        <x:v>Overstock</x:v>
      </x:c>
      <x:c r="X12" s="22" t="n">
        <x:v>4916</x:v>
      </x:c>
      <x:c r="Y12" s="22" t="n">
        <x:v>126</x:v>
      </x:c>
      <x:c r="Z12" s="22" t="n">
        <x:v>5</x:v>
      </x:c>
      <x:c r="AA12" s="24" t="n">
        <x:f>IFERROR(Y12/X12*100,0)</x:f>
        <x:v>2.5630593978844587</x:v>
      </x:c>
      <x:c r="AB12" s="26" t="n">
        <x:v>-49.3</x:v>
      </x:c>
      <x:c r="AC12" s="24" t="n">
        <x:f>IFERROR(Z12/X12*100,0)</x:f>
        <x:v>0.10170870626525631</x:v>
      </x:c>
      <x:c r="AD12" s="26" t="n">
        <x:v>-80.3</x:v>
      </x:c>
      <x:c r="AE12" s="22" t="n">
        <x:f>IFERROR(Z12*M12,0)</x:f>
        <x:v>447865</x:v>
      </x:c>
      <x:c r="AF12" s="26" t="n">
        <x:v>-77.2</x:v>
      </x:c>
      <x:c r="AG12" s="24" t="n">
        <x:v>61</x:v>
      </x:c>
      <x:c r="AH12" s="26" t="n">
        <x:v>-1.3</x:v>
      </x:c>
      <x:c r="AI12" s="22" t="n">
        <x:v>73</x:v>
      </x:c>
      <x:c r="AJ12" s="22" t="n">
        <x:v>48</x:v>
      </x:c>
      <x:c r="AK12" s="22" t="n">
        <x:v>42</x:v>
      </x:c>
      <x:c r="AL12" s="22" t="n">
        <x:v>29</x:v>
      </x:c>
      <x:c r="AM12" s="22" t="n">
        <x:v>21</x:v>
      </x:c>
      <x:c r="AN12" s="24" t="n">
        <x:f>IFERROR(AI12/X12*100,0)</x:f>
        <x:v>1.4849471114727422</x:v>
      </x:c>
      <x:c r="AO12" s="24" t="n">
        <x:f>IFERROR(AJ12/X12*100,0)</x:f>
        <x:v>0.9764035801464606</x:v>
      </x:c>
      <x:c r="AP12" s="24" t="n">
        <x:f>IFERROR(AK12/X12*100,0)</x:f>
        <x:v>0.8543531326281529</x:v>
      </x:c>
      <x:c r="AQ12" s="24" t="n">
        <x:f>IFERROR(AL12/X12*100,0)</x:f>
        <x:v>0.5899104963384866</x:v>
      </x:c>
      <x:c r="AR12" s="24" t="n">
        <x:f>IFERROR(AM12/X12*100,0)</x:f>
        <x:v>0.42717656631407647</x:v>
      </x:c>
      <x:c r="AS12" s="24" t="n">
        <x:f>IFERROR(Z12/X12*100,0)</x:f>
        <x:v>0.10170870626525631</x:v>
      </x:c>
      <x:c r="AT12" s="26" t="n">
        <x:v>7.1</x:v>
      </x:c>
      <x:c r="AU12" s="26" t="n">
        <x:v>-51.1</x:v>
      </x:c>
      <x:c r="AV12" s="26" t="n">
        <x:v>-57.8</x:v>
      </x:c>
      <x:c r="AW12" s="26" t="n">
        <x:v>-31.3</x:v>
      </x:c>
      <x:c r="AX12" s="26" t="n">
        <x:v>-12.5</x:v>
      </x:c>
      <x:c r="AY12" s="26" t="n">
        <x:v>-7</x:v>
      </x:c>
      <x:c r="AZ12" s="26" t="n">
        <x:v>-32.4</x:v>
      </x:c>
      <x:c r="BA12" s="26" t="n">
        <x:v>-78.6</x:v>
      </x:c>
      <x:c r="BB12" s="22" t="n">
        <x:f>IFERROR(AE12/Z12,0)</x:f>
        <x:v>89573</x:v>
      </x:c>
      <x:c r="BC12" s="17" t="n">
        <x:f>IF(OR(V12="out_of_stock",V12="critical_low_stock"),MAX(0,(14-U12)*T12),0)</x:f>
        <x:v>0</x:v>
      </x:c>
      <x:c r="BD12" s="22" t="n">
        <x:f>IFERROR(BC12*M12,0)</x:f>
        <x:v>0</x:v>
      </x:c>
      <x:c r="BE12" s="17" t="str">
        <x:v>stock_sales_behavior</x:v>
      </x:c>
      <x:c r="BF12" s="17" t="str">
        <x:v>copied_from_uploaded_product2 + synthetic_stock</x:v>
      </x:c>
    </x:row>
    <x:row r="13">
      <x:c r="A13" s="17" t="n">
        <x:v>12</x:v>
      </x:c>
      <x:c r="B13" s="17" t="str">
        <x:v>PRODUCT_STOCK_BEHAVIOR</x:v>
      </x:c>
      <x:c r="C13" s="20" t="n">
        <x:v>46155</x:v>
      </x:c>
      <x:c r="D13" s="17" t="str">
        <x:v>Web</x:v>
      </x:c>
      <x:c r="E13" s="17" t="str">
        <x:v>App</x:v>
      </x:c>
      <x:c r="F13" s="17" t="str">
        <x:v>Affiliate</x:v>
      </x:c>
      <x:c r="G13" s="17" t="n">
        <x:v>28</x:v>
      </x:c>
      <x:c r="H13" s="17" t="str">
        <x:v>APPLE</x:v>
      </x:c>
      <x:c r="I13" s="17" t="str">
        <x:v>Telefon</x:v>
      </x:c>
      <x:c r="J13" s="17" t="str">
        <x:v>Cep Telefonları</x:v>
      </x:c>
      <x:c r="K13" s="17" t="str">
        <x:v>APPLE iPhone 17 256 GB Akıllı Telefon Beyaz MG6K4TU/A</x:v>
      </x:c>
      <x:c r="L13" s="17" t="str">
        <x:v>1249222</x:v>
      </x:c>
      <x:c r="M13" s="22" t="n">
        <x:v>69418</x:v>
      </x:c>
      <x:c r="N13" s="26" t="n">
        <x:v>-19.9</x:v>
      </x:c>
      <x:c r="O13" s="22" t="n">
        <x:v>84</x:v>
      </x:c>
      <x:c r="P13" s="22" t="n">
        <x:v>105</x:v>
      </x:c>
      <x:c r="Q13" s="22" t="n">
        <x:v>0</x:v>
      </x:c>
      <x:c r="R13" s="17" t="n">
        <x:v>10</x:v>
      </x:c>
      <x:c r="S13" s="22" t="n">
        <x:v>13</x:v>
      </x:c>
      <x:c r="T13" s="24" t="n">
        <x:v>1</x:v>
      </x:c>
      <x:c r="U13" s="24" t="n">
        <x:f>IFERROR(O13/T13,0)</x:f>
        <x:v>84</x:v>
      </x:c>
      <x:c r="V13" s="17" t="str">
        <x:f>IF(O13&lt;=0,"out_of_stock",IF(U13&lt;7,"critical_low_stock",IF(U13&gt;60,"overstock","in_stock")))</x:f>
        <x:v>overstock</x:v>
      </x:c>
      <x:c r="W13" s="17" t="str">
        <x:f>IF(O13&lt;=0,"OOS",IF(AND(U13&lt;7,AC13&gt;=0.5),"High Risk",IF(U13&lt;14,"Medium Risk",IF(U13&gt;60,"Overstock","Healthy"))))</x:f>
        <x:v>Overstock</x:v>
      </x:c>
      <x:c r="X13" s="22" t="n">
        <x:v>4901</x:v>
      </x:c>
      <x:c r="Y13" s="22" t="n">
        <x:v>297</x:v>
      </x:c>
      <x:c r="Z13" s="22" t="n">
        <x:v>0</x:v>
      </x:c>
      <x:c r="AA13" s="24" t="n">
        <x:f>IFERROR(Y13/X13*100,0)</x:f>
        <x:v>6.05998775760049</x:v>
      </x:c>
      <x:c r="AB13" s="26" t="n">
        <x:v>-16.5</x:v>
      </x:c>
      <x:c r="AC13" s="24" t="n">
        <x:f>IFERROR(Z13/X13*100,0)</x:f>
        <x:v>0</x:v>
      </x:c>
      <x:c r="AD13" s="26" t="n">
        <x:v>166</x:v>
      </x:c>
      <x:c r="AE13" s="22" t="n">
        <x:f>IFERROR(Z13*M13,0)</x:f>
        <x:v>0</x:v>
      </x:c>
      <x:c r="AF13" s="26" t="n">
        <x:v>137.6</x:v>
      </x:c>
      <x:c r="AG13" s="24" t="n">
        <x:v>54</x:v>
      </x:c>
      <x:c r="AH13" s="26" t="n">
        <x:v>-4.3</x:v>
      </x:c>
      <x:c r="AI13" s="22" t="n">
        <x:v>250</x:v>
      </x:c>
      <x:c r="AJ13" s="22" t="n">
        <x:v>163</x:v>
      </x:c>
      <x:c r="AK13" s="22" t="n">
        <x:v>130</x:v>
      </x:c>
      <x:c r="AL13" s="22" t="n">
        <x:v>107</x:v>
      </x:c>
      <x:c r="AM13" s="22" t="n">
        <x:v>53</x:v>
      </x:c>
      <x:c r="AN13" s="24" t="n">
        <x:f>IFERROR(AI13/X13*100,0)</x:f>
        <x:v>5.100999795960008</x:v>
      </x:c>
      <x:c r="AO13" s="24" t="n">
        <x:f>IFERROR(AJ13/X13*100,0)</x:f>
        <x:v>3.3258518669659254</x:v>
      </x:c>
      <x:c r="AP13" s="24" t="n">
        <x:f>IFERROR(AK13/X13*100,0)</x:f>
        <x:v>2.6525198938992043</x:v>
      </x:c>
      <x:c r="AQ13" s="24" t="n">
        <x:f>IFERROR(AL13/X13*100,0)</x:f>
        <x:v>2.1832279126708833</x:v>
      </x:c>
      <x:c r="AR13" s="24" t="n">
        <x:f>IFERROR(AM13/X13*100,0)</x:f>
        <x:v>1.0814119567435216</x:v>
      </x:c>
      <x:c r="AS13" s="24" t="n">
        <x:f>IFERROR(Z13/X13*100,0)</x:f>
        <x:v>0</x:v>
      </x:c>
      <x:c r="AT13" s="26" t="n">
        <x:v>7.6</x:v>
      </x:c>
      <x:c r="AU13" s="26" t="n">
        <x:v>-8.3</x:v>
      </x:c>
      <x:c r="AV13" s="26" t="n">
        <x:v>-17.1</x:v>
      </x:c>
      <x:c r="AW13" s="26" t="n">
        <x:v>-46.8</x:v>
      </x:c>
      <x:c r="AX13" s="26" t="n">
        <x:v>-18.2</x:v>
      </x:c>
      <x:c r="AY13" s="26" t="n">
        <x:v>-3.5</x:v>
      </x:c>
      <x:c r="AZ13" s="26" t="n">
        <x:v>6.4</x:v>
      </x:c>
      <x:c r="BA13" s="26" t="n">
        <x:v>166</x:v>
      </x:c>
      <x:c r="BB13" s="22" t="n">
        <x:f>IFERROR(AE13/Z13,0)</x:f>
        <x:v>0</x:v>
      </x:c>
      <x:c r="BC13" s="17" t="n">
        <x:f>IF(OR(V13="out_of_stock",V13="critical_low_stock"),MAX(0,(14-U13)*T13),0)</x:f>
        <x:v>0</x:v>
      </x:c>
      <x:c r="BD13" s="22" t="n">
        <x:f>IFERROR(BC13*M13,0)</x:f>
        <x:v>0</x:v>
      </x:c>
      <x:c r="BE13" s="17" t="str">
        <x:v>stock_sales_behavior</x:v>
      </x:c>
      <x:c r="BF13" s="17" t="str">
        <x:v>copied_from_uploaded_product2 + synthetic_stock</x:v>
      </x:c>
    </x:row>
    <x:row r="14">
      <x:c r="A14" s="17" t="n">
        <x:v>13</x:v>
      </x:c>
      <x:c r="B14" s="17" t="str">
        <x:v>PRODUCT_STOCK_BEHAVIOR</x:v>
      </x:c>
      <x:c r="C14" s="20" t="n">
        <x:v>46156</x:v>
      </x:c>
      <x:c r="D14" s="17" t="str">
        <x:v>Web</x:v>
      </x:c>
      <x:c r="E14" s="17" t="str">
        <x:v>App</x:v>
      </x:c>
      <x:c r="F14" s="17" t="str">
        <x:v>Search Paid Generic</x:v>
      </x:c>
      <x:c r="G14" s="17" t="n">
        <x:v>28</x:v>
      </x:c>
      <x:c r="H14" s="17" t="str">
        <x:v>APPLE</x:v>
      </x:c>
      <x:c r="I14" s="17" t="str">
        <x:v>Telefon</x:v>
      </x:c>
      <x:c r="J14" s="17" t="str">
        <x:v>Cep Telefonları</x:v>
      </x:c>
      <x:c r="K14" s="17" t="str">
        <x:v>APPLE iPhone 17 Pro 256 GB Akıllı Telefon Kozmik Turuncu MG8H4TU/A</x:v>
      </x:c>
      <x:c r="L14" s="17" t="str">
        <x:v>1249238</x:v>
      </x:c>
      <x:c r="M14" s="22" t="n">
        <x:v>89403</x:v>
      </x:c>
      <x:c r="N14" s="26" t="n">
        <x:v>-12.9</x:v>
      </x:c>
      <x:c r="O14" s="22" t="n">
        <x:v>222</x:v>
      </x:c>
      <x:c r="P14" s="22" t="n">
        <x:v>67</x:v>
      </x:c>
      <x:c r="Q14" s="22" t="n">
        <x:v>0</x:v>
      </x:c>
      <x:c r="R14" s="17" t="n">
        <x:v>3</x:v>
      </x:c>
      <x:c r="S14" s="22" t="n">
        <x:v>28</x:v>
      </x:c>
      <x:c r="T14" s="24" t="n">
        <x:v>4.6</x:v>
      </x:c>
      <x:c r="U14" s="24" t="n">
        <x:f>IFERROR(O14/T14,0)</x:f>
        <x:v>48.2608695652174</x:v>
      </x:c>
      <x:c r="V14" s="17" t="str">
        <x:f>IF(O14&lt;=0,"out_of_stock",IF(U14&lt;7,"critical_low_stock",IF(U14&gt;60,"overstock","in_stock")))</x:f>
        <x:v>in_stock</x:v>
      </x:c>
      <x:c r="W14" s="17" t="str">
        <x:f>IF(O14&lt;=0,"OOS",IF(AND(U14&lt;7,AC14&gt;=0.5),"High Risk",IF(U14&lt;14,"Medium Risk",IF(U14&gt;60,"Overstock","Healthy"))))</x:f>
        <x:v>Healthy</x:v>
      </x:c>
      <x:c r="X14" s="22" t="n">
        <x:v>4872</x:v>
      </x:c>
      <x:c r="Y14" s="22" t="n">
        <x:v>503</x:v>
      </x:c>
      <x:c r="Z14" s="22" t="n">
        <x:v>16</x:v>
      </x:c>
      <x:c r="AA14" s="24" t="n">
        <x:f>IFERROR(Y14/X14*100,0)</x:f>
        <x:v>10.324302134646961</x:v>
      </x:c>
      <x:c r="AB14" s="26" t="n">
        <x:v>0.5</x:v>
      </x:c>
      <x:c r="AC14" s="24" t="n">
        <x:f>IFERROR(Z14/X14*100,0)</x:f>
        <x:v>0.3284072249589491</x:v>
      </x:c>
      <x:c r="AD14" s="26" t="n">
        <x:v>-47</x:v>
      </x:c>
      <x:c r="AE14" s="22" t="n">
        <x:f>IFERROR(Z14*M14,0)</x:f>
        <x:v>1430448</x:v>
      </x:c>
      <x:c r="AF14" s="26" t="n">
        <x:v>-48</x:v>
      </x:c>
      <x:c r="AG14" s="24" t="n">
        <x:v>49</x:v>
      </x:c>
      <x:c r="AH14" s="26" t="n">
        <x:v>-2.2</x:v>
      </x:c>
      <x:c r="AI14" s="22" t="n">
        <x:v>290</x:v>
      </x:c>
      <x:c r="AJ14" s="22" t="n">
        <x:v>199</x:v>
      </x:c>
      <x:c r="AK14" s="22" t="n">
        <x:v>136</x:v>
      </x:c>
      <x:c r="AL14" s="22" t="n">
        <x:v>133</x:v>
      </x:c>
      <x:c r="AM14" s="22" t="n">
        <x:v>91</x:v>
      </x:c>
      <x:c r="AN14" s="24" t="n">
        <x:f>IFERROR(AI14/X14*100,0)</x:f>
        <x:v>5.952380952380952</x:v>
      </x:c>
      <x:c r="AO14" s="24" t="n">
        <x:f>IFERROR(AJ14/X14*100,0)</x:f>
        <x:v>4.084564860426929</x:v>
      </x:c>
      <x:c r="AP14" s="24" t="n">
        <x:f>IFERROR(AK14/X14*100,0)</x:f>
        <x:v>2.7914614121510675</x:v>
      </x:c>
      <x:c r="AQ14" s="24" t="n">
        <x:f>IFERROR(AL14/X14*100,0)</x:f>
        <x:v>2.7298850574712645</x:v>
      </x:c>
      <x:c r="AR14" s="24" t="n">
        <x:f>IFERROR(AM14/X14*100,0)</x:f>
        <x:v>1.8678160919540232</x:v>
      </x:c>
      <x:c r="AS14" s="24" t="n">
        <x:f>IFERROR(Z14/X14*100,0)</x:f>
        <x:v>0.3284072249589491</x:v>
      </x:c>
      <x:c r="AT14" s="26" t="n">
        <x:v>17.1</x:v>
      </x:c>
      <x:c r="AU14" s="26" t="n">
        <x:v>6.3</x:v>
      </x:c>
      <x:c r="AV14" s="26" t="n">
        <x:v>4.7</x:v>
      </x:c>
      <x:c r="AW14" s="26" t="n">
        <x:v>-22.5</x:v>
      </x:c>
      <x:c r="AX14" s="26" t="n">
        <x:v>-1.7</x:v>
      </x:c>
      <x:c r="AY14" s="26" t="n">
        <x:v>17.1</x:v>
      </x:c>
      <x:c r="AZ14" s="26" t="n">
        <x:v>-25.8</x:v>
      </x:c>
      <x:c r="BA14" s="26" t="n">
        <x:v>-37.5</x:v>
      </x:c>
      <x:c r="BB14" s="22" t="n">
        <x:f>IFERROR(AE14/Z14,0)</x:f>
        <x:v>89403</x:v>
      </x:c>
      <x:c r="BC14" s="17" t="n">
        <x:f>IF(OR(V14="out_of_stock",V14="critical_low_stock"),MAX(0,(14-U14)*T14),0)</x:f>
        <x:v>0</x:v>
      </x:c>
      <x:c r="BD14" s="22" t="n">
        <x:f>IFERROR(BC14*M14,0)</x:f>
        <x:v>0</x:v>
      </x:c>
      <x:c r="BE14" s="17" t="str">
        <x:v>stock_sales_behavior</x:v>
      </x:c>
      <x:c r="BF14" s="17" t="str">
        <x:v>copied_from_uploaded_product2 + synthetic_stock</x:v>
      </x:c>
    </x:row>
    <x:row r="15">
      <x:c r="A15" s="17" t="n">
        <x:v>14</x:v>
      </x:c>
      <x:c r="B15" s="17" t="str">
        <x:v>PRODUCT_STOCK_BEHAVIOR</x:v>
      </x:c>
      <x:c r="C15" s="20" t="n">
        <x:v>46143</x:v>
      </x:c>
      <x:c r="D15" s="17" t="str">
        <x:v>App</x:v>
      </x:c>
      <x:c r="E15" s="17" t="str">
        <x:v>Mobile</x:v>
      </x:c>
      <x:c r="F15" s="17" t="str">
        <x:v>Affiliate</x:v>
      </x:c>
      <x:c r="G15" s="17" t="n">
        <x:v>28</x:v>
      </x:c>
      <x:c r="H15" s="17" t="str">
        <x:v>APPLE</x:v>
      </x:c>
      <x:c r="I15" s="17" t="str">
        <x:v>Telefon</x:v>
      </x:c>
      <x:c r="J15" s="17" t="str">
        <x:v>Cep Telefonları</x:v>
      </x:c>
      <x:c r="K15" s="17" t="str">
        <x:v>APPLE iPhone 15 256 GB Akıllı Telefon Mavi MTP93TU/A</x:v>
      </x:c>
      <x:c r="L15" s="17" t="str">
        <x:v>1232441</x:v>
      </x:c>
      <x:c r="M15" s="22" t="n">
        <x:v>44295</x:v>
      </x:c>
      <x:c r="N15" s="26" t="n">
        <x:v>-9.3</x:v>
      </x:c>
      <x:c r="O15" s="22" t="n">
        <x:v>172</x:v>
      </x:c>
      <x:c r="P15" s="22" t="n">
        <x:v>152</x:v>
      </x:c>
      <x:c r="Q15" s="22" t="n">
        <x:v>0</x:v>
      </x:c>
      <x:c r="R15" s="17" t="n">
        <x:v>21</x:v>
      </x:c>
      <x:c r="S15" s="22" t="n">
        <x:v>106</x:v>
      </x:c>
      <x:c r="T15" s="24" t="n">
        <x:v>4.4</x:v>
      </x:c>
      <x:c r="U15" s="24" t="n">
        <x:f>IFERROR(O15/T15,0)</x:f>
        <x:v>39.090909090909086</x:v>
      </x:c>
      <x:c r="V15" s="17" t="str">
        <x:f>IF(O15&lt;=0,"out_of_stock",IF(U15&lt;7,"critical_low_stock",IF(U15&gt;60,"overstock","in_stock")))</x:f>
        <x:v>in_stock</x:v>
      </x:c>
      <x:c r="W15" s="17" t="str">
        <x:f>IF(O15&lt;=0,"OOS",IF(AND(U15&lt;7,AC15&gt;=0.5),"High Risk",IF(U15&lt;14,"Medium Risk",IF(U15&gt;60,"Overstock","Healthy"))))</x:f>
        <x:v>Healthy</x:v>
      </x:c>
      <x:c r="X15" s="22" t="n">
        <x:v>4776</x:v>
      </x:c>
      <x:c r="Y15" s="22" t="n">
        <x:v>598</x:v>
      </x:c>
      <x:c r="Z15" s="22" t="n">
        <x:v>24</x:v>
      </x:c>
      <x:c r="AA15" s="24" t="n">
        <x:f>IFERROR(Y15/X15*100,0)</x:f>
        <x:v>12.520938023450586</x:v>
      </x:c>
      <x:c r="AB15" s="26" t="n">
        <x:v>-2.5</x:v>
      </x:c>
      <x:c r="AC15" s="24" t="n">
        <x:f>IFERROR(Z15/X15*100,0)</x:f>
        <x:v>0.5025125628140703</x:v>
      </x:c>
      <x:c r="AD15" s="26" t="n">
        <x:v>-51.9</x:v>
      </x:c>
      <x:c r="AE15" s="22" t="n">
        <x:f>IFERROR(Z15*M15,0)</x:f>
        <x:v>1063080</x:v>
      </x:c>
      <x:c r="AF15" s="26" t="n">
        <x:v>-67.7</x:v>
      </x:c>
      <x:c r="AG15" s="24" t="n">
        <x:v>46</x:v>
      </x:c>
      <x:c r="AH15" s="26" t="n">
        <x:v>-7.2</x:v>
      </x:c>
      <x:c r="AI15" s="22" t="n">
        <x:v>551</x:v>
      </x:c>
      <x:c r="AJ15" s="22" t="n">
        <x:v>397</x:v>
      </x:c>
      <x:c r="AK15" s="22" t="n">
        <x:v>200</x:v>
      </x:c>
      <x:c r="AL15" s="22" t="n">
        <x:v>173</x:v>
      </x:c>
      <x:c r="AM15" s="22" t="n">
        <x:v>118</x:v>
      </x:c>
      <x:c r="AN15" s="24" t="n">
        <x:f>IFERROR(AI15/X15*100,0)</x:f>
        <x:v>11.53685092127303</x:v>
      </x:c>
      <x:c r="AO15" s="24" t="n">
        <x:f>IFERROR(AJ15/X15*100,0)</x:f>
        <x:v>8.312395309882747</x:v>
      </x:c>
      <x:c r="AP15" s="24" t="n">
        <x:f>IFERROR(AK15/X15*100,0)</x:f>
        <x:v>4.1876046901172534</x:v>
      </x:c>
      <x:c r="AQ15" s="24" t="n">
        <x:f>IFERROR(AL15/X15*100,0)</x:f>
        <x:v>3.6222780569514237</x:v>
      </x:c>
      <x:c r="AR15" s="24" t="n">
        <x:f>IFERROR(AM15/X15*100,0)</x:f>
        <x:v>2.4706867671691795</x:v>
      </x:c>
      <x:c r="AS15" s="24" t="n">
        <x:f>IFERROR(Z15/X15*100,0)</x:f>
        <x:v>0.5025125628140703</x:v>
      </x:c>
      <x:c r="AT15" s="26" t="n">
        <x:v>11.4</x:v>
      </x:c>
      <x:c r="AU15" s="26" t="n">
        <x:v>6.9</x:v>
      </x:c>
      <x:c r="AV15" s="26" t="n">
        <x:v>2.2</x:v>
      </x:c>
      <x:c r="AW15" s="26" t="n">
        <x:v>9</x:v>
      </x:c>
      <x:c r="AX15" s="26" t="n">
        <x:v>10.8</x:v>
      </x:c>
      <x:c r="AY15" s="26" t="n">
        <x:v>14.6</x:v>
      </x:c>
      <x:c r="AZ15" s="26" t="n">
        <x:v>-18.4</x:v>
      </x:c>
      <x:c r="BA15" s="26" t="n">
        <x:v>-46.4</x:v>
      </x:c>
      <x:c r="BB15" s="22" t="n">
        <x:f>IFERROR(AE15/Z15,0)</x:f>
        <x:v>44295</x:v>
      </x:c>
      <x:c r="BC15" s="17" t="n">
        <x:f>IF(OR(V15="out_of_stock",V15="critical_low_stock"),MAX(0,(14-U15)*T15),0)</x:f>
        <x:v>0</x:v>
      </x:c>
      <x:c r="BD15" s="22" t="n">
        <x:f>IFERROR(BC15*M15,0)</x:f>
        <x:v>0</x:v>
      </x:c>
      <x:c r="BE15" s="17" t="str">
        <x:v>stock_sales_behavior</x:v>
      </x:c>
      <x:c r="BF15" s="17" t="str">
        <x:v>copied_from_uploaded_product2 + synthetic_stock</x:v>
      </x:c>
    </x:row>
    <x:row r="16">
      <x:c r="A16" s="17" t="n">
        <x:v>15</x:v>
      </x:c>
      <x:c r="B16" s="17" t="str">
        <x:v>PRODUCT_STOCK_BEHAVIOR</x:v>
      </x:c>
      <x:c r="C16" s="20" t="n">
        <x:v>46144</x:v>
      </x:c>
      <x:c r="D16" s="17" t="str">
        <x:v>Web</x:v>
      </x:c>
      <x:c r="E16" s="17" t="str">
        <x:v>Desktop</x:v>
      </x:c>
      <x:c r="F16" s="17" t="str">
        <x:v>Search Paid Generic</x:v>
      </x:c>
      <x:c r="G16" s="17" t="n">
        <x:v>28</x:v>
      </x:c>
      <x:c r="H16" s="17" t="str">
        <x:v>APPLE</x:v>
      </x:c>
      <x:c r="I16" s="17" t="str">
        <x:v>Telefon</x:v>
      </x:c>
      <x:c r="J16" s="17" t="str">
        <x:v>Cep Telefonları</x:v>
      </x:c>
      <x:c r="K16" s="17" t="str">
        <x:v>APPLE iPhone 17 256 GB Akıllı Telefon Sis Mavisi MG6L4TU/A</x:v>
      </x:c>
      <x:c r="L16" s="17" t="str">
        <x:v>1249223</x:v>
      </x:c>
      <x:c r="M16" s="22" t="n">
        <x:v>62169</x:v>
      </x:c>
      <x:c r="N16" s="26" t="n">
        <x:v>-0.3</x:v>
      </x:c>
      <x:c r="O16" s="22" t="n">
        <x:v>136</x:v>
      </x:c>
      <x:c r="P16" s="22" t="n">
        <x:v>229</x:v>
      </x:c>
      <x:c r="Q16" s="22" t="n">
        <x:v>0</x:v>
      </x:c>
      <x:c r="R16" s="17" t="n">
        <x:v>7</x:v>
      </x:c>
      <x:c r="S16" s="22" t="n">
        <x:v>13</x:v>
      </x:c>
      <x:c r="T16" s="24" t="n">
        <x:v>1.3</x:v>
      </x:c>
      <x:c r="U16" s="24" t="n">
        <x:f>IFERROR(O16/T16,0)</x:f>
        <x:v>104.61538461538461</x:v>
      </x:c>
      <x:c r="V16" s="17" t="str">
        <x:f>IF(O16&lt;=0,"out_of_stock",IF(U16&lt;7,"critical_low_stock",IF(U16&gt;60,"overstock","in_stock")))</x:f>
        <x:v>overstock</x:v>
      </x:c>
      <x:c r="W16" s="17" t="str">
        <x:f>IF(O16&lt;=0,"OOS",IF(AND(U16&lt;7,AC16&gt;=0.5),"High Risk",IF(U16&lt;14,"Medium Risk",IF(U16&gt;60,"Overstock","Healthy"))))</x:f>
        <x:v>Overstock</x:v>
      </x:c>
      <x:c r="X16" s="22" t="n">
        <x:v>4646</x:v>
      </x:c>
      <x:c r="Y16" s="22" t="n">
        <x:v>197</x:v>
      </x:c>
      <x:c r="Z16" s="22" t="n">
        <x:v>0</x:v>
      </x:c>
      <x:c r="AA16" s="24" t="n">
        <x:f>IFERROR(Y16/X16*100,0)</x:f>
        <x:v>4.240206629358588</x:v>
      </x:c>
      <x:c r="AB16" s="26" t="n">
        <x:v>-7.3</x:v>
      </x:c>
      <x:c r="AC16" s="24" t="n">
        <x:f>IFERROR(Z16/X16*100,0)</x:f>
        <x:v>0</x:v>
      </x:c>
      <x:c r="AD16" s="26" t="n">
        <x:v>-100</x:v>
      </x:c>
      <x:c r="AE16" s="22" t="n">
        <x:f>IFERROR(Z16*M16,0)</x:f>
        <x:v>0</x:v>
      </x:c>
      <x:c r="AF16" s="26" t="n">
        <x:v>-87.1</x:v>
      </x:c>
      <x:c r="AG16" s="24" t="n">
        <x:v>52</x:v>
      </x:c>
      <x:c r="AH16" s="26" t="n">
        <x:v>-1.4</x:v>
      </x:c>
      <x:c r="AI16" s="22" t="n">
        <x:v>160</x:v>
      </x:c>
      <x:c r="AJ16" s="22" t="n">
        <x:v>49</x:v>
      </x:c>
      <x:c r="AK16" s="22" t="n">
        <x:v>43</x:v>
      </x:c>
      <x:c r="AL16" s="22" t="n">
        <x:v>32</x:v>
      </x:c>
      <x:c r="AM16" s="22" t="n">
        <x:v>23</x:v>
      </x:c>
      <x:c r="AN16" s="24" t="n">
        <x:f>IFERROR(AI16/X16*100,0)</x:f>
        <x:v>3.4438226431338785</x:v>
      </x:c>
      <x:c r="AO16" s="24" t="n">
        <x:f>IFERROR(AJ16/X16*100,0)</x:f>
        <x:v>1.0546706844597502</x:v>
      </x:c>
      <x:c r="AP16" s="24" t="n">
        <x:f>IFERROR(AK16/X16*100,0)</x:f>
        <x:v>0.9255273353422298</x:v>
      </x:c>
      <x:c r="AQ16" s="24" t="n">
        <x:f>IFERROR(AL16/X16*100,0)</x:f>
        <x:v>0.6887645286267757</x:v>
      </x:c>
      <x:c r="AR16" s="24" t="n">
        <x:f>IFERROR(AM16/X16*100,0)</x:f>
        <x:v>0.49504950495049505</x:v>
      </x:c>
      <x:c r="AS16" s="24" t="n">
        <x:f>IFERROR(Z16/X16*100,0)</x:f>
        <x:v>0</x:v>
      </x:c>
      <x:c r="AT16" s="26" t="n">
        <x:v>2.2</x:v>
      </x:c>
      <x:c r="AU16" s="26" t="n">
        <x:v>-11.4</x:v>
      </x:c>
      <x:c r="AV16" s="26" t="n">
        <x:v>-3.6</x:v>
      </x:c>
      <x:c r="AW16" s="26" t="n">
        <x:v>-8.2</x:v>
      </x:c>
      <x:c r="AX16" s="26" t="n">
        <x:v>-14.6</x:v>
      </x:c>
      <x:c r="AY16" s="26" t="n">
        <x:v>-12.3</x:v>
      </x:c>
      <x:c r="AZ16" s="26" t="n">
        <x:v>-25.5</x:v>
      </x:c>
      <x:c r="BA16" s="26" t="n">
        <x:v>-100</x:v>
      </x:c>
      <x:c r="BB16" s="22" t="n">
        <x:f>IFERROR(AE16/Z16,0)</x:f>
        <x:v>0</x:v>
      </x:c>
      <x:c r="BC16" s="17" t="n">
        <x:f>IF(OR(V16="out_of_stock",V16="critical_low_stock"),MAX(0,(14-U16)*T16),0)</x:f>
        <x:v>0</x:v>
      </x:c>
      <x:c r="BD16" s="22" t="n">
        <x:f>IFERROR(BC16*M16,0)</x:f>
        <x:v>0</x:v>
      </x:c>
      <x:c r="BE16" s="17" t="str">
        <x:v>stock_sales_behavior</x:v>
      </x:c>
      <x:c r="BF16" s="17" t="str">
        <x:v>copied_from_uploaded_product2 + synthetic_stock</x:v>
      </x:c>
    </x:row>
    <x:row r="17">
      <x:c r="A17" s="17" t="n">
        <x:v>16</x:v>
      </x:c>
      <x:c r="B17" s="17" t="str">
        <x:v>PRODUCT_STOCK_BEHAVIOR</x:v>
      </x:c>
      <x:c r="C17" s="20" t="n">
        <x:v>46145</x:v>
      </x:c>
      <x:c r="D17" s="17" t="str">
        <x:v>Mobile Web</x:v>
      </x:c>
      <x:c r="E17" s="17" t="str">
        <x:v>Mobile</x:v>
      </x:c>
      <x:c r="F17" s="17" t="str">
        <x:v>CRM</x:v>
      </x:c>
      <x:c r="G17" s="17" t="n">
        <x:v>28</x:v>
      </x:c>
      <x:c r="H17" s="17" t="str">
        <x:v>APPLE</x:v>
      </x:c>
      <x:c r="I17" s="17" t="str">
        <x:v>Telefon</x:v>
      </x:c>
      <x:c r="J17" s="17" t="str">
        <x:v>Cep Telefonları</x:v>
      </x:c>
      <x:c r="K17" s="17" t="str">
        <x:v>APPLE iPhone 16e 8/128 GB Akıllı Telefon Siyah MD1Q4TU/A</x:v>
      </x:c>
      <x:c r="L17" s="17" t="str">
        <x:v>1244798</x:v>
      </x:c>
      <x:c r="M17" s="22" t="n">
        <x:v>37617</x:v>
      </x:c>
      <x:c r="N17" s="26" t="n">
        <x:v>-10.8</x:v>
      </x:c>
      <x:c r="O17" s="22" t="n">
        <x:v>54</x:v>
      </x:c>
      <x:c r="P17" s="22" t="n">
        <x:v>31</x:v>
      </x:c>
      <x:c r="Q17" s="22" t="n">
        <x:v>0</x:v>
      </x:c>
      <x:c r="R17" s="17" t="n">
        <x:v>7</x:v>
      </x:c>
      <x:c r="S17" s="22" t="n">
        <x:v>126</x:v>
      </x:c>
      <x:c r="T17" s="24" t="n">
        <x:v>12.6</x:v>
      </x:c>
      <x:c r="U17" s="24" t="n">
        <x:f>IFERROR(O17/T17,0)</x:f>
        <x:v>4.285714285714286</x:v>
      </x:c>
      <x:c r="V17" s="17" t="str">
        <x:f>IF(O17&lt;=0,"out_of_stock",IF(U17&lt;7,"critical_low_stock",IF(U17&gt;60,"overstock","in_stock")))</x:f>
        <x:v>critical_low_stock</x:v>
      </x:c>
      <x:c r="W17" s="17" t="str">
        <x:f>IF(O17&lt;=0,"OOS",IF(AND(U17&lt;7,AC17&gt;=0.5),"High Risk",IF(U17&lt;14,"Medium Risk",IF(U17&gt;60,"Overstock","Healthy"))))</x:f>
        <x:v>High Risk</x:v>
      </x:c>
      <x:c r="X17" s="22" t="n">
        <x:v>4282</x:v>
      </x:c>
      <x:c r="Y17" s="22" t="n">
        <x:v>460</x:v>
      </x:c>
      <x:c r="Z17" s="22" t="n">
        <x:v>77</x:v>
      </x:c>
      <x:c r="AA17" s="24" t="n">
        <x:f>IFERROR(Y17/X17*100,0)</x:f>
        <x:v>10.742643624474544</x:v>
      </x:c>
      <x:c r="AB17" s="26" t="n">
        <x:v>-2.2</x:v>
      </x:c>
      <x:c r="AC17" s="24" t="n">
        <x:f>IFERROR(Z17/X17*100,0)</x:f>
        <x:v>1.798225128444652</x:v>
      </x:c>
      <x:c r="AD17" s="26" t="n">
        <x:v>25.8</x:v>
      </x:c>
      <x:c r="AE17" s="22" t="n">
        <x:f>IFERROR(Z17*M17,0)</x:f>
        <x:v>2896509</x:v>
      </x:c>
      <x:c r="AF17" s="26" t="n">
        <x:v>17</x:v>
      </x:c>
      <x:c r="AG17" s="24" t="n">
        <x:v>50</x:v>
      </x:c>
      <x:c r="AH17" s="26" t="n">
        <x:v>0.6</x:v>
      </x:c>
      <x:c r="AI17" s="22" t="n">
        <x:v>262</x:v>
      </x:c>
      <x:c r="AJ17" s="22" t="n">
        <x:v>153</x:v>
      </x:c>
      <x:c r="AK17" s="22" t="n">
        <x:v>134</x:v>
      </x:c>
      <x:c r="AL17" s="22" t="n">
        <x:v>89</x:v>
      </x:c>
      <x:c r="AM17" s="22" t="n">
        <x:v>77</x:v>
      </x:c>
      <x:c r="AN17" s="24" t="n">
        <x:f>IFERROR(AI17/X17*100,0)</x:f>
        <x:v>6.118636151331153</x:v>
      </x:c>
      <x:c r="AO17" s="24" t="n">
        <x:f>IFERROR(AJ17/X17*100,0)</x:f>
        <x:v>3.5730966837926204</x:v>
      </x:c>
      <x:c r="AP17" s="24" t="n">
        <x:f>IFERROR(AK17/X17*100,0)</x:f>
        <x:v>3.1293787949556284</x:v>
      </x:c>
      <x:c r="AQ17" s="24" t="n">
        <x:f>IFERROR(AL17/X17*100,0)</x:f>
        <x:v>2.0784680056048574</x:v>
      </x:c>
      <x:c r="AR17" s="24" t="n">
        <x:f>IFERROR(AM17/X17*100,0)</x:f>
        <x:v>1.798225128444652</x:v>
      </x:c>
      <x:c r="AS17" s="24" t="n">
        <x:f>IFERROR(Z17/X17*100,0)</x:f>
        <x:v>1.798225128444652</x:v>
      </x:c>
      <x:c r="AT17" s="26" t="n">
        <x:v>8.6</x:v>
      </x:c>
      <x:c r="AU17" s="26" t="n">
        <x:v>4.6</x:v>
      </x:c>
      <x:c r="AV17" s="26" t="n">
        <x:v>5.6</x:v>
      </x:c>
      <x:c r="AW17" s="26" t="n">
        <x:v>-36.5</x:v>
      </x:c>
      <x:c r="AX17" s="26" t="n">
        <x:v>-19.7</x:v>
      </x:c>
      <x:c r="AY17" s="26" t="n">
        <x:v>-21.6</x:v>
      </x:c>
      <x:c r="AZ17" s="26" t="n">
        <x:v>4.7</x:v>
      </x:c>
      <x:c r="BA17" s="26" t="n">
        <x:v>38.9</x:v>
      </x:c>
      <x:c r="BB17" s="22" t="n">
        <x:f>IFERROR(AE17/Z17,0)</x:f>
        <x:v>37617</x:v>
      </x:c>
      <x:c r="BC17" s="17" t="n">
        <x:f>IF(OR(V17="out_of_stock",V17="critical_low_stock"),MAX(0,(14-U17)*T17),0)</x:f>
        <x:v>122.4</x:v>
      </x:c>
      <x:c r="BD17" s="22" t="n">
        <x:f>IFERROR(BC17*M17,0)</x:f>
        <x:v>4604320.8</x:v>
      </x:c>
      <x:c r="BE17" s="17" t="str">
        <x:v>stock_sales_behavior</x:v>
      </x:c>
      <x:c r="BF17" s="17" t="str">
        <x:v>copied_from_uploaded_product2 + synthetic_stock</x:v>
      </x:c>
    </x:row>
    <x:row r="18">
      <x:c r="A18" s="17" t="n">
        <x:v>17</x:v>
      </x:c>
      <x:c r="B18" s="17" t="str">
        <x:v>PRODUCT_STOCK_BEHAVIOR</x:v>
      </x:c>
      <x:c r="C18" s="20" t="n">
        <x:v>46146</x:v>
      </x:c>
      <x:c r="D18" s="17" t="str">
        <x:v>App</x:v>
      </x:c>
      <x:c r="E18" s="17" t="str">
        <x:v>Mobile</x:v>
      </x:c>
      <x:c r="F18" s="17" t="str">
        <x:v>Search Paid Generic</x:v>
      </x:c>
      <x:c r="G18" s="17" t="n">
        <x:v>28</x:v>
      </x:c>
      <x:c r="H18" s="17" t="str">
        <x:v>APPLE</x:v>
      </x:c>
      <x:c r="I18" s="17" t="str">
        <x:v>Telefon</x:v>
      </x:c>
      <x:c r="J18" s="17" t="str">
        <x:v>Cep Telefonları</x:v>
      </x:c>
      <x:c r="K18" s="17" t="str">
        <x:v>APPLE iPhone 16 128 GB Akıllı Telefon Siyah MYE73TU/A</x:v>
      </x:c>
      <x:c r="L18" s="17" t="str">
        <x:v>1239553</x:v>
      </x:c>
      <x:c r="M18" s="22" t="n">
        <x:v>46884</x:v>
      </x:c>
      <x:c r="N18" s="26" t="n">
        <x:v>4.6</x:v>
      </x:c>
      <x:c r="O18" s="22" t="n">
        <x:v>84</x:v>
      </x:c>
      <x:c r="P18" s="22" t="n">
        <x:v>71</x:v>
      </x:c>
      <x:c r="Q18" s="22" t="n">
        <x:v>0</x:v>
      </x:c>
      <x:c r="R18" s="17" t="n">
        <x:v>14</x:v>
      </x:c>
      <x:c r="S18" s="22" t="n">
        <x:v>41</x:v>
      </x:c>
      <x:c r="T18" s="24" t="n">
        <x:v>2.4</x:v>
      </x:c>
      <x:c r="U18" s="24" t="n">
        <x:f>IFERROR(O18/T18,0)</x:f>
        <x:v>35</x:v>
      </x:c>
      <x:c r="V18" s="17" t="str">
        <x:f>IF(O18&lt;=0,"out_of_stock",IF(U18&lt;7,"critical_low_stock",IF(U18&gt;60,"overstock","in_stock")))</x:f>
        <x:v>in_stock</x:v>
      </x:c>
      <x:c r="W18" s="17" t="str">
        <x:f>IF(O18&lt;=0,"OOS",IF(AND(U18&lt;7,AC18&gt;=0.5),"High Risk",IF(U18&lt;14,"Medium Risk",IF(U18&gt;60,"Overstock","Healthy"))))</x:f>
        <x:v>Healthy</x:v>
      </x:c>
      <x:c r="X18" s="22" t="n">
        <x:v>3914</x:v>
      </x:c>
      <x:c r="Y18" s="22" t="n">
        <x:v>361</x:v>
      </x:c>
      <x:c r="Z18" s="22" t="n">
        <x:v>3</x:v>
      </x:c>
      <x:c r="AA18" s="24" t="n">
        <x:f>IFERROR(Y18/X18*100,0)</x:f>
        <x:v>9.223300970873787</x:v>
      </x:c>
      <x:c r="AB18" s="26" t="n">
        <x:v>-13.6</x:v>
      </x:c>
      <x:c r="AC18" s="24" t="n">
        <x:f>IFERROR(Z18/X18*100,0)</x:f>
        <x:v>0.07664793050587634</x:v>
      </x:c>
      <x:c r="AD18" s="26" t="n">
        <x:v>-28.2</x:v>
      </x:c>
      <x:c r="AE18" s="22" t="n">
        <x:f>IFERROR(Z18*M18,0)</x:f>
        <x:v>140652</x:v>
      </x:c>
      <x:c r="AF18" s="26" t="n">
        <x:v>-37.2</x:v>
      </x:c>
      <x:c r="AG18" s="24" t="n">
        <x:v>56</x:v>
      </x:c>
      <x:c r="AH18" s="26" t="n">
        <x:v>1</x:v>
      </x:c>
      <x:c r="AI18" s="22" t="n">
        <x:v>205</x:v>
      </x:c>
      <x:c r="AJ18" s="22" t="n">
        <x:v>95</x:v>
      </x:c>
      <x:c r="AK18" s="22" t="n">
        <x:v>87</x:v>
      </x:c>
      <x:c r="AL18" s="22" t="n">
        <x:v>86</x:v>
      </x:c>
      <x:c r="AM18" s="22" t="n">
        <x:v>36</x:v>
      </x:c>
      <x:c r="AN18" s="24" t="n">
        <x:f>IFERROR(AI18/X18*100,0)</x:f>
        <x:v>5.237608584568217</x:v>
      </x:c>
      <x:c r="AO18" s="24" t="n">
        <x:f>IFERROR(AJ18/X18*100,0)</x:f>
        <x:v>2.4271844660194173</x:v>
      </x:c>
      <x:c r="AP18" s="24" t="n">
        <x:f>IFERROR(AK18/X18*100,0)</x:f>
        <x:v>2.2227899846704138</x:v>
      </x:c>
      <x:c r="AQ18" s="24" t="n">
        <x:f>IFERROR(AL18/X18*100,0)</x:f>
        <x:v>2.1972406745017885</x:v>
      </x:c>
      <x:c r="AR18" s="24" t="n">
        <x:f>IFERROR(AM18/X18*100,0)</x:f>
        <x:v>0.9197751660705161</x:v>
      </x:c>
      <x:c r="AS18" s="24" t="n">
        <x:f>IFERROR(Z18/X18*100,0)</x:f>
        <x:v>0.07664793050587634</x:v>
      </x:c>
      <x:c r="AT18" s="26" t="n">
        <x:v>-13.4</x:v>
      </x:c>
      <x:c r="AU18" s="26" t="n">
        <x:v>-24.8</x:v>
      </x:c>
      <x:c r="AV18" s="26" t="n">
        <x:v>-27.7</x:v>
      </x:c>
      <x:c r="AW18" s="26" t="n">
        <x:v>-24.6</x:v>
      </x:c>
      <x:c r="AX18" s="26" t="n">
        <x:v>10.6</x:v>
      </x:c>
      <x:c r="AY18" s="26" t="n">
        <x:v>18.8</x:v>
      </x:c>
      <x:c r="AZ18" s="26" t="n">
        <x:v>-1.3</x:v>
      </x:c>
      <x:c r="BA18" s="26" t="n">
        <x:v>-37.5</x:v>
      </x:c>
      <x:c r="BB18" s="22" t="n">
        <x:f>IFERROR(AE18/Z18,0)</x:f>
        <x:v>46884</x:v>
      </x:c>
      <x:c r="BC18" s="17" t="n">
        <x:f>IF(OR(V18="out_of_stock",V18="critical_low_stock"),MAX(0,(14-U18)*T18),0)</x:f>
        <x:v>0</x:v>
      </x:c>
      <x:c r="BD18" s="22" t="n">
        <x:f>IFERROR(BC18*M18,0)</x:f>
        <x:v>0</x:v>
      </x:c>
      <x:c r="BE18" s="17" t="str">
        <x:v>stock_sales_behavior</x:v>
      </x:c>
      <x:c r="BF18" s="17" t="str">
        <x:v>copied_from_uploaded_product2 + synthetic_stock</x:v>
      </x:c>
    </x:row>
    <x:row r="19">
      <x:c r="A19" s="17" t="n">
        <x:v>18</x:v>
      </x:c>
      <x:c r="B19" s="17" t="str">
        <x:v>PRODUCT_STOCK_BEHAVIOR</x:v>
      </x:c>
      <x:c r="C19" s="20" t="n">
        <x:v>46147</x:v>
      </x:c>
      <x:c r="D19" s="17" t="str">
        <x:v>Mobile Web</x:v>
      </x:c>
      <x:c r="E19" s="17" t="str">
        <x:v>Mobile</x:v>
      </x:c>
      <x:c r="F19" s="17" t="str">
        <x:v>Search Paid Generic</x:v>
      </x:c>
      <x:c r="G19" s="17" t="n">
        <x:v>28</x:v>
      </x:c>
      <x:c r="H19" s="17" t="str">
        <x:v>APPLE</x:v>
      </x:c>
      <x:c r="I19" s="17" t="str">
        <x:v>Telefon</x:v>
      </x:c>
      <x:c r="J19" s="17" t="str">
        <x:v>Cep Telefonları</x:v>
      </x:c>
      <x:c r="K19" s="17" t="str">
        <x:v>APPLE iPhone 15 128 GB Akıllı Telefon Pembe MTP13TU/A</x:v>
      </x:c>
      <x:c r="L19" s="17" t="str">
        <x:v>1232438</x:v>
      </x:c>
      <x:c r="M19" s="22" t="n">
        <x:v>41757</x:v>
      </x:c>
      <x:c r="N19" s="26" t="n">
        <x:v>18.9</x:v>
      </x:c>
      <x:c r="O19" s="22" t="n">
        <x:v>159</x:v>
      </x:c>
      <x:c r="P19" s="22" t="n">
        <x:v>38</x:v>
      </x:c>
      <x:c r="Q19" s="22" t="n">
        <x:v>0</x:v>
      </x:c>
      <x:c r="R19" s="17" t="n">
        <x:v>5</x:v>
      </x:c>
      <x:c r="S19" s="22" t="n">
        <x:v>26</x:v>
      </x:c>
      <x:c r="T19" s="24" t="n">
        <x:v>3.2</x:v>
      </x:c>
      <x:c r="U19" s="24" t="n">
        <x:f>IFERROR(O19/T19,0)</x:f>
        <x:v>49.6875</x:v>
      </x:c>
      <x:c r="V19" s="17" t="str">
        <x:f>IF(O19&lt;=0,"out_of_stock",IF(U19&lt;7,"critical_low_stock",IF(U19&gt;60,"overstock","in_stock")))</x:f>
        <x:v>in_stock</x:v>
      </x:c>
      <x:c r="W19" s="17" t="str">
        <x:f>IF(O19&lt;=0,"OOS",IF(AND(U19&lt;7,AC19&gt;=0.5),"High Risk",IF(U19&lt;14,"Medium Risk",IF(U19&gt;60,"Overstock","Healthy"))))</x:f>
        <x:v>Healthy</x:v>
      </x:c>
      <x:c r="X19" s="22" t="n">
        <x:v>3855</x:v>
      </x:c>
      <x:c r="Y19" s="22" t="n">
        <x:v>268</x:v>
      </x:c>
      <x:c r="Z19" s="22" t="n">
        <x:v>6</x:v>
      </x:c>
      <x:c r="AA19" s="24" t="n">
        <x:f>IFERROR(Y19/X19*100,0)</x:f>
        <x:v>6.95201037613489</x:v>
      </x:c>
      <x:c r="AB19" s="26" t="n">
        <x:v>-17.2</x:v>
      </x:c>
      <x:c r="AC19" s="24" t="n">
        <x:f>IFERROR(Z19/X19*100,0)</x:f>
        <x:v>0.1556420233463035</x:v>
      </x:c>
      <x:c r="AD19" s="26" t="n">
        <x:v>275</x:v>
      </x:c>
      <x:c r="AE19" s="22" t="n">
        <x:f>IFERROR(Z19*M19,0)</x:f>
        <x:v>250542</x:v>
      </x:c>
      <x:c r="AF19" s="26" t="n">
        <x:v>300</x:v>
      </x:c>
      <x:c r="AG19" s="24" t="n">
        <x:v>62</x:v>
      </x:c>
      <x:c r="AH19" s="26" t="n">
        <x:v>-5</x:v>
      </x:c>
      <x:c r="AI19" s="22" t="n">
        <x:v>226</x:v>
      </x:c>
      <x:c r="AJ19" s="22" t="n">
        <x:v>102</x:v>
      </x:c>
      <x:c r="AK19" s="22" t="n">
        <x:v>94</x:v>
      </x:c>
      <x:c r="AL19" s="22" t="n">
        <x:v>87</x:v>
      </x:c>
      <x:c r="AM19" s="22" t="n">
        <x:v>72</x:v>
      </x:c>
      <x:c r="AN19" s="24" t="n">
        <x:f>IFERROR(AI19/X19*100,0)</x:f>
        <x:v>5.862516212710765</x:v>
      </x:c>
      <x:c r="AO19" s="24" t="n">
        <x:f>IFERROR(AJ19/X19*100,0)</x:f>
        <x:v>2.6459143968871595</x:v>
      </x:c>
      <x:c r="AP19" s="24" t="n">
        <x:f>IFERROR(AK19/X19*100,0)</x:f>
        <x:v>2.4383916990920884</x:v>
      </x:c>
      <x:c r="AQ19" s="24" t="n">
        <x:f>IFERROR(AL19/X19*100,0)</x:f>
        <x:v>2.2568093385214008</x:v>
      </x:c>
      <x:c r="AR19" s="24" t="n">
        <x:f>IFERROR(AM19/X19*100,0)</x:f>
        <x:v>1.867704280155642</x:v>
      </x:c>
      <x:c r="AS19" s="24" t="n">
        <x:f>IFERROR(Z19/X19*100,0)</x:f>
        <x:v>0.1556420233463035</x:v>
      </x:c>
      <x:c r="AT19" s="26" t="n">
        <x:v>5.6</x:v>
      </x:c>
      <x:c r="AU19" s="26" t="n">
        <x:v>-19.6</x:v>
      </x:c>
      <x:c r="AV19" s="26" t="n">
        <x:v>-21.9</x:v>
      </x:c>
      <x:c r="AW19" s="26" t="n">
        <x:v>-71.5</x:v>
      </x:c>
      <x:c r="AX19" s="26" t="n">
        <x:v>-3.5</x:v>
      </x:c>
      <x:c r="AY19" s="26" t="n">
        <x:v>-16</x:v>
      </x:c>
      <x:c r="AZ19" s="26" t="n">
        <x:v>6.3</x:v>
      </x:c>
      <x:c r="BA19" s="26" t="n">
        <x:v>300</x:v>
      </x:c>
      <x:c r="BB19" s="22" t="n">
        <x:f>IFERROR(AE19/Z19,0)</x:f>
        <x:v>41757</x:v>
      </x:c>
      <x:c r="BC19" s="17" t="n">
        <x:f>IF(OR(V19="out_of_stock",V19="critical_low_stock"),MAX(0,(14-U19)*T19),0)</x:f>
        <x:v>0</x:v>
      </x:c>
      <x:c r="BD19" s="22" t="n">
        <x:f>IFERROR(BC19*M19,0)</x:f>
        <x:v>0</x:v>
      </x:c>
      <x:c r="BE19" s="17" t="str">
        <x:v>stock_sales_behavior</x:v>
      </x:c>
      <x:c r="BF19" s="17" t="str">
        <x:v>copied_from_uploaded_product2 + synthetic_stock</x:v>
      </x:c>
    </x:row>
    <x:row r="20">
      <x:c r="A20" s="17" t="n">
        <x:v>19</x:v>
      </x:c>
      <x:c r="B20" s="17" t="str">
        <x:v>PRODUCT_STOCK_BEHAVIOR</x:v>
      </x:c>
      <x:c r="C20" s="20" t="n">
        <x:v>46148</x:v>
      </x:c>
      <x:c r="D20" s="17" t="str">
        <x:v>App</x:v>
      </x:c>
      <x:c r="E20" s="17" t="str">
        <x:v>App</x:v>
      </x:c>
      <x:c r="F20" s="17" t="str">
        <x:v>Direct</x:v>
      </x:c>
      <x:c r="G20" s="17" t="n">
        <x:v>28</x:v>
      </x:c>
      <x:c r="H20" s="17" t="str">
        <x:v>APPLE</x:v>
      </x:c>
      <x:c r="I20" s="17" t="str">
        <x:v>Telefon</x:v>
      </x:c>
      <x:c r="J20" s="17" t="str">
        <x:v>Cep Telefonları</x:v>
      </x:c>
      <x:c r="K20" s="17" t="str">
        <x:v>APPLE iPhone 17 256 GB Akıllı Telefon Lavanta MG6M4TU/A</x:v>
      </x:c>
      <x:c r="L20" s="17" t="str">
        <x:v>1249224</x:v>
      </x:c>
      <x:c r="M20" s="22" t="n">
        <x:v>68457</x:v>
      </x:c>
      <x:c r="N20" s="26" t="n">
        <x:v>-6.3</x:v>
      </x:c>
      <x:c r="O20" s="22" t="n">
        <x:v>151</x:v>
      </x:c>
      <x:c r="P20" s="22" t="n">
        <x:v>180</x:v>
      </x:c>
      <x:c r="Q20" s="22" t="n">
        <x:v>0</x:v>
      </x:c>
      <x:c r="R20" s="17" t="n">
        <x:v>5</x:v>
      </x:c>
      <x:c r="S20" s="22" t="n">
        <x:v>16</x:v>
      </x:c>
      <x:c r="T20" s="24" t="n">
        <x:v>1.9</x:v>
      </x:c>
      <x:c r="U20" s="24" t="n">
        <x:f>IFERROR(O20/T20,0)</x:f>
        <x:v>79.47368421052632</x:v>
      </x:c>
      <x:c r="V20" s="17" t="str">
        <x:f>IF(O20&lt;=0,"out_of_stock",IF(U20&lt;7,"critical_low_stock",IF(U20&gt;60,"overstock","in_stock")))</x:f>
        <x:v>overstock</x:v>
      </x:c>
      <x:c r="W20" s="17" t="str">
        <x:f>IF(O20&lt;=0,"OOS",IF(AND(U20&lt;7,AC20&gt;=0.5),"High Risk",IF(U20&lt;14,"Medium Risk",IF(U20&gt;60,"Overstock","Healthy"))))</x:f>
        <x:v>Overstock</x:v>
      </x:c>
      <x:c r="X20" s="22" t="n">
        <x:v>3679</x:v>
      </x:c>
      <x:c r="Y20" s="22" t="n">
        <x:v>168</x:v>
      </x:c>
      <x:c r="Z20" s="22" t="n">
        <x:v>0</x:v>
      </x:c>
      <x:c r="AA20" s="24" t="n">
        <x:f>IFERROR(Y20/X20*100,0)</x:f>
        <x:v>4.566458276705627</x:v>
      </x:c>
      <x:c r="AB20" s="26" t="n">
        <x:v>-18.9</x:v>
      </x:c>
      <x:c r="AC20" s="24" t="n">
        <x:f>IFERROR(Z20/X20*100,0)</x:f>
        <x:v>0</x:v>
      </x:c>
      <x:c r="AD20" s="26" t="n">
        <x:v>-100</x:v>
      </x:c>
      <x:c r="AE20" s="22" t="n">
        <x:f>IFERROR(Z20*M20,0)</x:f>
        <x:v>0</x:v>
      </x:c>
      <x:c r="AF20" s="26" t="n">
        <x:v>-95</x:v>
      </x:c>
      <x:c r="AG20" s="24" t="n">
        <x:v>56</x:v>
      </x:c>
      <x:c r="AH20" s="26" t="n">
        <x:v>3.1</x:v>
      </x:c>
      <x:c r="AI20" s="22" t="n">
        <x:v>119</x:v>
      </x:c>
      <x:c r="AJ20" s="22" t="n">
        <x:v>51</x:v>
      </x:c>
      <x:c r="AK20" s="22" t="n">
        <x:v>27</x:v>
      </x:c>
      <x:c r="AL20" s="22" t="n">
        <x:v>25</x:v>
      </x:c>
      <x:c r="AM20" s="22" t="n">
        <x:v>14</x:v>
      </x:c>
      <x:c r="AN20" s="24" t="n">
        <x:f>IFERROR(AI20/X20*100,0)</x:f>
        <x:v>3.2345746126664854</x:v>
      </x:c>
      <x:c r="AO20" s="24" t="n">
        <x:f>IFERROR(AJ20/X20*100,0)</x:f>
        <x:v>1.386246262571351</x:v>
      </x:c>
      <x:c r="AP20" s="24" t="n">
        <x:f>IFERROR(AK20/X20*100,0)</x:f>
        <x:v>0.7338950801848328</x:v>
      </x:c>
      <x:c r="AQ20" s="24" t="n">
        <x:f>IFERROR(AL20/X20*100,0)</x:f>
        <x:v>0.6795324816526229</x:v>
      </x:c>
      <x:c r="AR20" s="24" t="n">
        <x:f>IFERROR(AM20/X20*100,0)</x:f>
        <x:v>0.3805381897254689</x:v>
      </x:c>
      <x:c r="AS20" s="24" t="n">
        <x:f>IFERROR(Z20/X20*100,0)</x:f>
        <x:v>0</x:v>
      </x:c>
      <x:c r="AT20" s="26" t="n">
        <x:v>16.3</x:v>
      </x:c>
      <x:c r="AU20" s="26" t="n">
        <x:v>-5.6</x:v>
      </x:c>
      <x:c r="AV20" s="26" t="n">
        <x:v>3.2</x:v>
      </x:c>
      <x:c r="AW20" s="26" t="n">
        <x:v>-64.6</x:v>
      </x:c>
      <x:c r="AX20" s="26" t="n">
        <x:v>14</x:v>
      </x:c>
      <x:c r="AY20" s="26" t="n">
        <x:v>-17</x:v>
      </x:c>
      <x:c r="AZ20" s="26" t="n">
        <x:v>8.3</x:v>
      </x:c>
      <x:c r="BA20" s="26" t="n">
        <x:v>-100</x:v>
      </x:c>
      <x:c r="BB20" s="22" t="n">
        <x:f>IFERROR(AE20/Z20,0)</x:f>
        <x:v>0</x:v>
      </x:c>
      <x:c r="BC20" s="17" t="n">
        <x:f>IF(OR(V20="out_of_stock",V20="critical_low_stock"),MAX(0,(14-U20)*T20),0)</x:f>
        <x:v>0</x:v>
      </x:c>
      <x:c r="BD20" s="22" t="n">
        <x:f>IFERROR(BC20*M20,0)</x:f>
        <x:v>0</x:v>
      </x:c>
      <x:c r="BE20" s="17" t="str">
        <x:v>stock_sales_behavior</x:v>
      </x:c>
      <x:c r="BF20" s="17" t="str">
        <x:v>copied_from_uploaded_product2 + synthetic_stock</x:v>
      </x:c>
    </x:row>
    <x:row r="21">
      <x:c r="A21" s="17" t="n">
        <x:v>20</x:v>
      </x:c>
      <x:c r="B21" s="17" t="str">
        <x:v>PRODUCT_STOCK_BEHAVIOR</x:v>
      </x:c>
      <x:c r="C21" s="20" t="n">
        <x:v>46149</x:v>
      </x:c>
      <x:c r="D21" s="17" t="str">
        <x:v>App</x:v>
      </x:c>
      <x:c r="E21" s="17" t="str">
        <x:v>App</x:v>
      </x:c>
      <x:c r="F21" s="17" t="str">
        <x:v>Search Organic Generic</x:v>
      </x:c>
      <x:c r="G21" s="17" t="n">
        <x:v>28</x:v>
      </x:c>
      <x:c r="H21" s="17" t="str">
        <x:v>APPLE</x:v>
      </x:c>
      <x:c r="I21" s="17" t="str">
        <x:v>Telefon</x:v>
      </x:c>
      <x:c r="J21" s="17" t="str">
        <x:v>Cep Telefonları</x:v>
      </x:c>
      <x:c r="K21" s="17" t="str">
        <x:v>APPLE iPhone 17 Pro Max 256 GB Akıllı Telefon Derin Mavi MFYP4TU/A</x:v>
      </x:c>
      <x:c r="L21" s="17" t="str">
        <x:v>1249247</x:v>
      </x:c>
      <x:c r="M21" s="22" t="n">
        <x:v>86349</x:v>
      </x:c>
      <x:c r="N21" s="26" t="n">
        <x:v>-18.3</x:v>
      </x:c>
      <x:c r="O21" s="22" t="n">
        <x:v>0</x:v>
      </x:c>
      <x:c r="P21" s="22" t="n">
        <x:v>0</x:v>
      </x:c>
      <x:c r="Q21" s="22" t="n">
        <x:v>37</x:v>
      </x:c>
      <x:c r="R21" s="17" t="n">
        <x:v>7</x:v>
      </x:c>
      <x:c r="S21" s="22" t="n">
        <x:v>20</x:v>
      </x:c>
      <x:c r="T21" s="24" t="n">
        <x:v>2</x:v>
      </x:c>
      <x:c r="U21" s="24" t="n">
        <x:f>IFERROR(O21/T21,0)</x:f>
        <x:v>0</x:v>
      </x:c>
      <x:c r="V21" s="17" t="str">
        <x:f>IF(O21&lt;=0,"out_of_stock",IF(U21&lt;7,"critical_low_stock",IF(U21&gt;60,"overstock","in_stock")))</x:f>
        <x:v>out_of_stock</x:v>
      </x:c>
      <x:c r="W21" s="17" t="str">
        <x:f>IF(O21&lt;=0,"OOS",IF(AND(U21&lt;7,AC21&gt;=0.5),"High Risk",IF(U21&lt;14,"Medium Risk",IF(U21&gt;60,"Overstock","Healthy"))))</x:f>
        <x:v>OOS</x:v>
      </x:c>
      <x:c r="X21" s="22" t="n">
        <x:v>3620</x:v>
      </x:c>
      <x:c r="Y21" s="22" t="n">
        <x:v>278</x:v>
      </x:c>
      <x:c r="Z21" s="22" t="n">
        <x:v>4</x:v>
      </x:c>
      <x:c r="AA21" s="24" t="n">
        <x:f>IFERROR(Y21/X21*100,0)</x:f>
        <x:v>7.679558011049724</x:v>
      </x:c>
      <x:c r="AB21" s="26" t="n">
        <x:v>-8.3</x:v>
      </x:c>
      <x:c r="AC21" s="24" t="n">
        <x:f>IFERROR(Z21/X21*100,0)</x:f>
        <x:v>0.11049723756906078</x:v>
      </x:c>
      <x:c r="AD21" s="26" t="n">
        <x:v>55.6</x:v>
      </x:c>
      <x:c r="AE21" s="22" t="n">
        <x:f>IFERROR(Z21*M21,0)</x:f>
        <x:v>345396</x:v>
      </x:c>
      <x:c r="AF21" s="26" t="n">
        <x:v>16.8</x:v>
      </x:c>
      <x:c r="AG21" s="24" t="n">
        <x:v>50</x:v>
      </x:c>
      <x:c r="AH21" s="26" t="n">
        <x:v>1.3</x:v>
      </x:c>
      <x:c r="AI21" s="22" t="n">
        <x:v>210</x:v>
      </x:c>
      <x:c r="AJ21" s="22" t="n">
        <x:v>99</x:v>
      </x:c>
      <x:c r="AK21" s="22" t="n">
        <x:v>75</x:v>
      </x:c>
      <x:c r="AL21" s="22" t="n">
        <x:v>55</x:v>
      </x:c>
      <x:c r="AM21" s="22" t="n">
        <x:v>41</x:v>
      </x:c>
      <x:c r="AN21" s="24" t="n">
        <x:f>IFERROR(AI21/X21*100,0)</x:f>
        <x:v>5.801104972375691</x:v>
      </x:c>
      <x:c r="AO21" s="24" t="n">
        <x:f>IFERROR(AJ21/X21*100,0)</x:f>
        <x:v>2.7348066298342544</x:v>
      </x:c>
      <x:c r="AP21" s="24" t="n">
        <x:f>IFERROR(AK21/X21*100,0)</x:f>
        <x:v>2.071823204419889</x:v>
      </x:c>
      <x:c r="AQ21" s="24" t="n">
        <x:f>IFERROR(AL21/X21*100,0)</x:f>
        <x:v>1.5193370165745856</x:v>
      </x:c>
      <x:c r="AR21" s="24" t="n">
        <x:f>IFERROR(AM21/X21*100,0)</x:f>
        <x:v>1.1325966850828728</x:v>
      </x:c>
      <x:c r="AS21" s="24" t="n">
        <x:f>IFERROR(Z21/X21*100,0)</x:f>
        <x:v>0.11049723756906078</x:v>
      </x:c>
      <x:c r="AT21" s="26" t="n">
        <x:v>-6.8</x:v>
      </x:c>
      <x:c r="AU21" s="26" t="n">
        <x:v>-12.5</x:v>
      </x:c>
      <x:c r="AV21" s="26" t="n">
        <x:v>-15.2</x:v>
      </x:c>
      <x:c r="AW21" s="26" t="n">
        <x:v>-68.7</x:v>
      </x:c>
      <x:c r="AX21" s="26" t="n">
        <x:v>3.2</x:v>
      </x:c>
      <x:c r="AY21" s="26" t="n">
        <x:v>-10.1</x:v>
      </x:c>
      <x:c r="AZ21" s="26" t="n">
        <x:v>-20.9</x:v>
      </x:c>
      <x:c r="BA21" s="26" t="n">
        <x:v>50</x:v>
      </x:c>
      <x:c r="BB21" s="22" t="n">
        <x:f>IFERROR(AE21/Z21,0)</x:f>
        <x:v>86349</x:v>
      </x:c>
      <x:c r="BC21" s="17" t="n">
        <x:f>IF(OR(V21="out_of_stock",V21="critical_low_stock"),MAX(0,(14-U21)*T21),0)</x:f>
        <x:v>28</x:v>
      </x:c>
      <x:c r="BD21" s="22" t="n">
        <x:f>IFERROR(BC21*M21,0)</x:f>
        <x:v>2417772</x:v>
      </x:c>
      <x:c r="BE21" s="17" t="str">
        <x:v>stock_sales_behavior</x:v>
      </x:c>
      <x:c r="BF21" s="17" t="str">
        <x:v>copied_from_uploaded_product2 + synthetic_stock</x:v>
      </x:c>
    </x:row>
    <x:row r="22">
      <x:c r="A22" s="17" t="n">
        <x:v>21</x:v>
      </x:c>
      <x:c r="B22" s="17" t="str">
        <x:v>PRODUCT_STOCK_BEHAVIOR</x:v>
      </x:c>
      <x:c r="C22" s="20" t="n">
        <x:v>46150</x:v>
      </x:c>
      <x:c r="D22" s="17" t="str">
        <x:v>Mobile Web</x:v>
      </x:c>
      <x:c r="E22" s="17" t="str">
        <x:v>Desktop</x:v>
      </x:c>
      <x:c r="F22" s="17" t="str">
        <x:v>Affiliate</x:v>
      </x:c>
      <x:c r="G22" s="17" t="n">
        <x:v>7</x:v>
      </x:c>
      <x:c r="H22" s="17" t="str">
        <x:v>APPLE</x:v>
      </x:c>
      <x:c r="I22" s="17" t="str">
        <x:v>Telefon</x:v>
      </x:c>
      <x:c r="J22" s="17" t="str">
        <x:v>Kulaklıklar</x:v>
      </x:c>
      <x:c r="K22" s="17" t="str">
        <x:v>APPLE Airpods Pro 3 Bluetooth Kulak İçi Kulaklık MFHP4TU/A</x:v>
      </x:c>
      <x:c r="L22" s="17" t="str">
        <x:v>1249259</x:v>
      </x:c>
      <x:c r="M22" s="22" t="n">
        <x:v>11973</x:v>
      </x:c>
      <x:c r="N22" s="26" t="n">
        <x:v>-14.4</x:v>
      </x:c>
      <x:c r="O22" s="22" t="n">
        <x:v>42</x:v>
      </x:c>
      <x:c r="P22" s="22" t="n">
        <x:v>34</x:v>
      </x:c>
      <x:c r="Q22" s="22" t="n">
        <x:v>277</x:v>
      </x:c>
      <x:c r="R22" s="17" t="n">
        <x:v>14</x:v>
      </x:c>
      <x:c r="S22" s="22" t="n">
        <x:v>213</x:v>
      </x:c>
      <x:c r="T22" s="24" t="n">
        <x:v>12.5</x:v>
      </x:c>
      <x:c r="U22" s="24" t="n">
        <x:f>IFERROR(O22/T22,0)</x:f>
        <x:v>3.36</x:v>
      </x:c>
      <x:c r="V22" s="17" t="str">
        <x:f>IF(O22&lt;=0,"out_of_stock",IF(U22&lt;7,"critical_low_stock",IF(U22&gt;60,"overstock","in_stock")))</x:f>
        <x:v>critical_low_stock</x:v>
      </x:c>
      <x:c r="W22" s="17" t="str">
        <x:f>IF(O22&lt;=0,"OOS",IF(AND(U22&lt;7,AC22&gt;=0.5),"High Risk",IF(U22&lt;14,"Medium Risk",IF(U22&gt;60,"Overstock","Healthy"))))</x:f>
        <x:v>High Risk</x:v>
      </x:c>
      <x:c r="X22" s="22" t="n">
        <x:v>3497</x:v>
      </x:c>
      <x:c r="Y22" s="22" t="n">
        <x:v>357</x:v>
      </x:c>
      <x:c r="Z22" s="22" t="n">
        <x:v>72</x:v>
      </x:c>
      <x:c r="AA22" s="24" t="n">
        <x:f>IFERROR(Y22/X22*100,0)</x:f>
        <x:v>10.208750357449242</x:v>
      </x:c>
      <x:c r="AB22" s="26" t="n">
        <x:v>-17.6</x:v>
      </x:c>
      <x:c r="AC22" s="24" t="n">
        <x:f>IFERROR(Z22/X22*100,0)</x:f>
        <x:v>2.0589076351158133</x:v>
      </x:c>
      <x:c r="AD22" s="26" t="n">
        <x:v>23.3</x:v>
      </x:c>
      <x:c r="AE22" s="22" t="n">
        <x:f>IFERROR(Z22*M22,0)</x:f>
        <x:v>862056</x:v>
      </x:c>
      <x:c r="AF22" s="26" t="n">
        <x:v>16.4</x:v>
      </x:c>
      <x:c r="AG22" s="24" t="n">
        <x:v>70</x:v>
      </x:c>
      <x:c r="AH22" s="26" t="n">
        <x:v>2</x:v>
      </x:c>
      <x:c r="AI22" s="22" t="n">
        <x:v>215</x:v>
      </x:c>
      <x:c r="AJ22" s="22" t="n">
        <x:v>105</x:v>
      </x:c>
      <x:c r="AK22" s="22" t="n">
        <x:v>97</x:v>
      </x:c>
      <x:c r="AL22" s="22" t="n">
        <x:v>86</x:v>
      </x:c>
      <x:c r="AM22" s="22" t="n">
        <x:v>73</x:v>
      </x:c>
      <x:c r="AN22" s="24" t="n">
        <x:f>IFERROR(AI22/X22*100,0)</x:f>
        <x:v>6.148126965970832</x:v>
      </x:c>
      <x:c r="AO22" s="24" t="n">
        <x:f>IFERROR(AJ22/X22*100,0)</x:f>
        <x:v>3.0025736345438947</x:v>
      </x:c>
      <x:c r="AP22" s="24" t="n">
        <x:f>IFERROR(AK22/X22*100,0)</x:f>
        <x:v>2.7738061195310264</x:v>
      </x:c>
      <x:c r="AQ22" s="24" t="n">
        <x:f>IFERROR(AL22/X22*100,0)</x:f>
        <x:v>2.459250786388333</x:v>
      </x:c>
      <x:c r="AR22" s="24" t="n">
        <x:f>IFERROR(AM22/X22*100,0)</x:f>
        <x:v>2.087503574492422</x:v>
      </x:c>
      <x:c r="AS22" s="24" t="n">
        <x:f>IFERROR(Z22/X22*100,0)</x:f>
        <x:v>2.0589076351158133</x:v>
      </x:c>
      <x:c r="AT22" s="26" t="n">
        <x:v>6</x:v>
      </x:c>
      <x:c r="AU22" s="26" t="n">
        <x:v>-11.6</x:v>
      </x:c>
      <x:c r="AV22" s="26" t="n">
        <x:v>-4.9</x:v>
      </x:c>
      <x:c r="AW22" s="26" t="n">
        <x:v>-47.7</x:v>
      </x:c>
      <x:c r="AX22" s="26" t="n">
        <x:v>-12.6</x:v>
      </x:c>
      <x:c r="AY22" s="26" t="n">
        <x:v>10.4</x:v>
      </x:c>
      <x:c r="AZ22" s="26" t="n">
        <x:v>-7.7</x:v>
      </x:c>
      <x:c r="BA22" s="26" t="n">
        <x:v>27.3</x:v>
      </x:c>
      <x:c r="BB22" s="22" t="n">
        <x:f>IFERROR(AE22/Z22,0)</x:f>
        <x:v>11973</x:v>
      </x:c>
      <x:c r="BC22" s="17" t="n">
        <x:f>IF(OR(V22="out_of_stock",V22="critical_low_stock"),MAX(0,(14-U22)*T22),0)</x:f>
        <x:v>133</x:v>
      </x:c>
      <x:c r="BD22" s="22" t="n">
        <x:f>IFERROR(BC22*M22,0)</x:f>
        <x:v>1592409</x:v>
      </x:c>
      <x:c r="BE22" s="17" t="str">
        <x:v>stock_sales_behavior</x:v>
      </x:c>
      <x:c r="BF22" s="17" t="str">
        <x:v>copied_from_uploaded_product2 + synthetic_stock</x:v>
      </x:c>
    </x:row>
    <x:row r="23">
      <x:c r="A23" s="17" t="n">
        <x:v>22</x:v>
      </x:c>
      <x:c r="B23" s="17" t="str">
        <x:v>PRODUCT_STOCK_BEHAVIOR</x:v>
      </x:c>
      <x:c r="C23" s="20" t="n">
        <x:v>46151</x:v>
      </x:c>
      <x:c r="D23" s="17" t="str">
        <x:v>Web</x:v>
      </x:c>
      <x:c r="E23" s="17" t="str">
        <x:v>App</x:v>
      </x:c>
      <x:c r="F23" s="17" t="str">
        <x:v>Social Paid</x:v>
      </x:c>
      <x:c r="G23" s="17" t="n">
        <x:v>28</x:v>
      </x:c>
      <x:c r="H23" s="17" t="str">
        <x:v>APPLE</x:v>
      </x:c>
      <x:c r="I23" s="17" t="str">
        <x:v>Telefon</x:v>
      </x:c>
      <x:c r="J23" s="17" t="str">
        <x:v>Cep Telefonları</x:v>
      </x:c>
      <x:c r="K23" s="17" t="str">
        <x:v>APPLE iPhone 16 128 GB Akıllı Telefon Pembe MYEA3TU/A</x:v>
      </x:c>
      <x:c r="L23" s="17" t="str">
        <x:v>1239560</x:v>
      </x:c>
      <x:c r="M23" s="22" t="n">
        <x:v>52559</x:v>
      </x:c>
      <x:c r="N23" s="26" t="n">
        <x:v>0.9</x:v>
      </x:c>
      <x:c r="O23" s="22" t="n">
        <x:v>6</x:v>
      </x:c>
      <x:c r="P23" s="22" t="n">
        <x:v>8</x:v>
      </x:c>
      <x:c r="Q23" s="22" t="n">
        <x:v>0</x:v>
      </x:c>
      <x:c r="R23" s="17" t="n">
        <x:v>5</x:v>
      </x:c>
      <x:c r="S23" s="22" t="n">
        <x:v>11</x:v>
      </x:c>
      <x:c r="T23" s="24" t="n">
        <x:v>1.3</x:v>
      </x:c>
      <x:c r="U23" s="24" t="n">
        <x:f>IFERROR(O23/T23,0)</x:f>
        <x:v>4.615384615384615</x:v>
      </x:c>
      <x:c r="V23" s="17" t="str">
        <x:f>IF(O23&lt;=0,"out_of_stock",IF(U23&lt;7,"critical_low_stock",IF(U23&gt;60,"overstock","in_stock")))</x:f>
        <x:v>critical_low_stock</x:v>
      </x:c>
      <x:c r="W23" s="17" t="str">
        <x:f>IF(O23&lt;=0,"OOS",IF(AND(U23&lt;7,AC23&gt;=0.5),"High Risk",IF(U23&lt;14,"Medium Risk",IF(U23&gt;60,"Overstock","Healthy"))))</x:f>
        <x:v>Medium Risk</x:v>
      </x:c>
      <x:c r="X23" s="22" t="n">
        <x:v>3464</x:v>
      </x:c>
      <x:c r="Y23" s="22" t="n">
        <x:v>283</x:v>
      </x:c>
      <x:c r="Z23" s="22" t="n">
        <x:v>1</x:v>
      </x:c>
      <x:c r="AA23" s="24" t="n">
        <x:f>IFERROR(Y23/X23*100,0)</x:f>
        <x:v>8.16974595842956</x:v>
      </x:c>
      <x:c r="AB23" s="26" t="n">
        <x:v>5.7</x:v>
      </x:c>
      <x:c r="AC23" s="24" t="n">
        <x:f>IFERROR(Z23/X23*100,0)</x:f>
        <x:v>0.028868360277136258</x:v>
      </x:c>
      <x:c r="AD23" s="26" t="n">
        <x:v>-50.5</x:v>
      </x:c>
      <x:c r="AE23" s="22" t="n">
        <x:f>IFERROR(Z23*M23,0)</x:f>
        <x:v>52559</x:v>
      </x:c>
      <x:c r="AF23" s="26" t="n">
        <x:v>-61.3</x:v>
      </x:c>
      <x:c r="AG23" s="24" t="n">
        <x:v>54</x:v>
      </x:c>
      <x:c r="AH23" s="26" t="n">
        <x:v>-6.7</x:v>
      </x:c>
      <x:c r="AI23" s="22" t="n">
        <x:v>239</x:v>
      </x:c>
      <x:c r="AJ23" s="22" t="n">
        <x:v>143</x:v>
      </x:c>
      <x:c r="AK23" s="22" t="n">
        <x:v>90</x:v>
      </x:c>
      <x:c r="AL23" s="22" t="n">
        <x:v>79</x:v>
      </x:c>
      <x:c r="AM23" s="22" t="n">
        <x:v>56</x:v>
      </x:c>
      <x:c r="AN23" s="24" t="n">
        <x:f>IFERROR(AI23/X23*100,0)</x:f>
        <x:v>6.899538106235566</x:v>
      </x:c>
      <x:c r="AO23" s="24" t="n">
        <x:f>IFERROR(AJ23/X23*100,0)</x:f>
        <x:v>4.128175519630485</x:v>
      </x:c>
      <x:c r="AP23" s="24" t="n">
        <x:f>IFERROR(AK23/X23*100,0)</x:f>
        <x:v>2.5981524249422634</x:v>
      </x:c>
      <x:c r="AQ23" s="24" t="n">
        <x:f>IFERROR(AL23/X23*100,0)</x:f>
        <x:v>2.2806004618937648</x:v>
      </x:c>
      <x:c r="AR23" s="24" t="n">
        <x:f>IFERROR(AM23/X23*100,0)</x:f>
        <x:v>1.6166281755196306</x:v>
      </x:c>
      <x:c r="AS23" s="24" t="n">
        <x:f>IFERROR(Z23/X23*100,0)</x:f>
        <x:v>0.028868360277136258</x:v>
      </x:c>
      <x:c r="AT23" s="26" t="n">
        <x:v>2.6</x:v>
      </x:c>
      <x:c r="AU23" s="26" t="n">
        <x:v>-1.4</x:v>
      </x:c>
      <x:c r="AV23" s="26" t="n">
        <x:v>-6.9</x:v>
      </x:c>
      <x:c r="AW23" s="26" t="n">
        <x:v>-57.1</x:v>
      </x:c>
      <x:c r="AX23" s="26" t="n">
        <x:v>-19.1</x:v>
      </x:c>
      <x:c r="AY23" s="26" t="n">
        <x:v>-14</x:v>
      </x:c>
      <x:c r="AZ23" s="26" t="n">
        <x:v>-13.6</x:v>
      </x:c>
      <x:c r="BA23" s="26" t="n">
        <x:v>-50</x:v>
      </x:c>
      <x:c r="BB23" s="22" t="n">
        <x:f>IFERROR(AE23/Z23,0)</x:f>
        <x:v>52559</x:v>
      </x:c>
      <x:c r="BC23" s="17" t="n">
        <x:f>IF(OR(V23="out_of_stock",V23="critical_low_stock"),MAX(0,(14-U23)*T23),0)</x:f>
        <x:v>12.200000000000001</x:v>
      </x:c>
      <x:c r="BD23" s="22" t="n">
        <x:f>IFERROR(BC23*M23,0)</x:f>
        <x:v>641219.8</x:v>
      </x:c>
      <x:c r="BE23" s="17" t="str">
        <x:v>stock_sales_behavior</x:v>
      </x:c>
      <x:c r="BF23" s="17" t="str">
        <x:v>copied_from_uploaded_product2 + synthetic_stock</x:v>
      </x:c>
    </x:row>
    <x:row r="24">
      <x:c r="A24" s="17" t="n">
        <x:v>23</x:v>
      </x:c>
      <x:c r="B24" s="17" t="str">
        <x:v>PRODUCT_STOCK_BEHAVIOR</x:v>
      </x:c>
      <x:c r="C24" s="20" t="n">
        <x:v>46152</x:v>
      </x:c>
      <x:c r="D24" s="17" t="str">
        <x:v>Web</x:v>
      </x:c>
      <x:c r="E24" s="17" t="str">
        <x:v>Desktop</x:v>
      </x:c>
      <x:c r="F24" s="17" t="str">
        <x:v>Search Organic Generic</x:v>
      </x:c>
      <x:c r="G24" s="17" t="n">
        <x:v>24</x:v>
      </x:c>
      <x:c r="H24" s="17" t="str">
        <x:v>APPLE</x:v>
      </x:c>
      <x:c r="I24" s="17" t="str">
        <x:v>Bilgisayar</x:v>
      </x:c>
      <x:c r="J24" s="17" t="str">
        <x:v>Tabletler</x:v>
      </x:c>
      <x:c r="K24" s="17" t="str">
        <x:v>APPLE iPad (A16) Wi-Fi 128 GB Tablet Gümüş MD3Y4TU/A</x:v>
      </x:c>
      <x:c r="L24" s="17" t="str">
        <x:v>1245605</x:v>
      </x:c>
      <x:c r="M24" s="22" t="n">
        <x:v>41844</x:v>
      </x:c>
      <x:c r="N24" s="26" t="n">
        <x:v>14.6</x:v>
      </x:c>
      <x:c r="O24" s="22" t="n">
        <x:v>287</x:v>
      </x:c>
      <x:c r="P24" s="22" t="n">
        <x:v>367</x:v>
      </x:c>
      <x:c r="Q24" s="22" t="n">
        <x:v>0</x:v>
      </x:c>
      <x:c r="R24" s="17" t="n">
        <x:v>21</x:v>
      </x:c>
      <x:c r="S24" s="22" t="n">
        <x:v>192</x:v>
      </x:c>
      <x:c r="T24" s="24" t="n">
        <x:v>8</x:v>
      </x:c>
      <x:c r="U24" s="24" t="n">
        <x:f>IFERROR(O24/T24,0)</x:f>
        <x:v>35.875</x:v>
      </x:c>
      <x:c r="V24" s="17" t="str">
        <x:f>IF(O24&lt;=0,"out_of_stock",IF(U24&lt;7,"critical_low_stock",IF(U24&gt;60,"overstock","in_stock")))</x:f>
        <x:v>in_stock</x:v>
      </x:c>
      <x:c r="W24" s="17" t="str">
        <x:f>IF(O24&lt;=0,"OOS",IF(AND(U24&lt;7,AC24&gt;=0.5),"High Risk",IF(U24&lt;14,"Medium Risk",IF(U24&gt;60,"Overstock","Healthy"))))</x:f>
        <x:v>Healthy</x:v>
      </x:c>
      <x:c r="X24" s="22" t="n">
        <x:v>3300</x:v>
      </x:c>
      <x:c r="Y24" s="22" t="n">
        <x:v>333</x:v>
      </x:c>
      <x:c r="Z24" s="22" t="n">
        <x:v>48</x:v>
      </x:c>
      <x:c r="AA24" s="24" t="n">
        <x:f>IFERROR(Y24/X24*100,0)</x:f>
        <x:v>10.09090909090909</x:v>
      </x:c>
      <x:c r="AB24" s="26" t="n">
        <x:v>4.6</x:v>
      </x:c>
      <x:c r="AC24" s="24" t="n">
        <x:f>IFERROR(Z24/X24*100,0)</x:f>
        <x:v>1.4545454545454546</x:v>
      </x:c>
      <x:c r="AD24" s="26" t="n">
        <x:v>11.2</x:v>
      </x:c>
      <x:c r="AE24" s="22" t="n">
        <x:f>IFERROR(Z24*M24,0)</x:f>
        <x:v>2008512</x:v>
      </x:c>
      <x:c r="AF24" s="26" t="n">
        <x:v>39.2</x:v>
      </x:c>
      <x:c r="AG24" s="24" t="n">
        <x:v>57</x:v>
      </x:c>
      <x:c r="AH24" s="26" t="n">
        <x:v>-0.7</x:v>
      </x:c>
      <x:c r="AI24" s="22" t="n">
        <x:v>234</x:v>
      </x:c>
      <x:c r="AJ24" s="22" t="n">
        <x:v>112</x:v>
      </x:c>
      <x:c r="AK24" s="22" t="n">
        <x:v>63</x:v>
      </x:c>
      <x:c r="AL24" s="22" t="n">
        <x:v>56</x:v>
      </x:c>
      <x:c r="AM24" s="22" t="n">
        <x:v>48</x:v>
      </x:c>
      <x:c r="AN24" s="24" t="n">
        <x:f>IFERROR(AI24/X24*100,0)</x:f>
        <x:v>7.090909090909091</x:v>
      </x:c>
      <x:c r="AO24" s="24" t="n">
        <x:f>IFERROR(AJ24/X24*100,0)</x:f>
        <x:v>3.3939393939393945</x:v>
      </x:c>
      <x:c r="AP24" s="24" t="n">
        <x:f>IFERROR(AK24/X24*100,0)</x:f>
        <x:v>1.9090909090909092</x:v>
      </x:c>
      <x:c r="AQ24" s="24" t="n">
        <x:f>IFERROR(AL24/X24*100,0)</x:f>
        <x:v>1.6969696969696972</x:v>
      </x:c>
      <x:c r="AR24" s="24" t="n">
        <x:f>IFERROR(AM24/X24*100,0)</x:f>
        <x:v>1.4545454545454546</x:v>
      </x:c>
      <x:c r="AS24" s="24" t="n">
        <x:f>IFERROR(Z24/X24*100,0)</x:f>
        <x:v>1.4545454545454546</x:v>
      </x:c>
      <x:c r="AT24" s="26" t="n">
        <x:v>7.2</x:v>
      </x:c>
      <x:c r="AU24" s="26" t="n">
        <x:v>8</x:v>
      </x:c>
      <x:c r="AV24" s="26" t="n">
        <x:v>1.5</x:v>
      </x:c>
      <x:c r="AW24" s="26" t="n">
        <x:v>11.2</x:v>
      </x:c>
      <x:c r="AX24" s="26" t="n">
        <x:v>-1.9</x:v>
      </x:c>
      <x:c r="AY24" s="26" t="n">
        <x:v>-22.7</x:v>
      </x:c>
      <x:c r="AZ24" s="26" t="n">
        <x:v>-23.8</x:v>
      </x:c>
      <x:c r="BA24" s="26" t="n">
        <x:v>13.8</x:v>
      </x:c>
      <x:c r="BB24" s="22" t="n">
        <x:f>IFERROR(AE24/Z24,0)</x:f>
        <x:v>41844</x:v>
      </x:c>
      <x:c r="BC24" s="17" t="n">
        <x:f>IF(OR(V24="out_of_stock",V24="critical_low_stock"),MAX(0,(14-U24)*T24),0)</x:f>
        <x:v>0</x:v>
      </x:c>
      <x:c r="BD24" s="22" t="n">
        <x:f>IFERROR(BC24*M24,0)</x:f>
        <x:v>0</x:v>
      </x:c>
      <x:c r="BE24" s="17" t="str">
        <x:v>stock_sales_behavior</x:v>
      </x:c>
      <x:c r="BF24" s="17" t="str">
        <x:v>copied_from_uploaded_product2 + synthetic_stock</x:v>
      </x:c>
    </x:row>
    <x:row r="25">
      <x:c r="A25" s="17" t="n">
        <x:v>24</x:v>
      </x:c>
      <x:c r="B25" s="17" t="str">
        <x:v>PRODUCT_STOCK_BEHAVIOR</x:v>
      </x:c>
      <x:c r="C25" s="20" t="n">
        <x:v>46153</x:v>
      </x:c>
      <x:c r="D25" s="17" t="str">
        <x:v>App</x:v>
      </x:c>
      <x:c r="E25" s="17" t="str">
        <x:v>Desktop</x:v>
      </x:c>
      <x:c r="F25" s="17" t="str">
        <x:v>Search Organic Brand</x:v>
      </x:c>
      <x:c r="G25" s="17" t="n">
        <x:v>28</x:v>
      </x:c>
      <x:c r="H25" s="17" t="str">
        <x:v>SAMSUNG</x:v>
      </x:c>
      <x:c r="I25" s="17" t="str">
        <x:v>Telefon</x:v>
      </x:c>
      <x:c r="J25" s="17" t="str">
        <x:v>Cep Telefonları</x:v>
      </x:c>
      <x:c r="K25" s="17" t="str">
        <x:v>SAMSUNG Galaxy S25 FE 5G 8/256 GB Akıllı Telefon Gece Siyahı</x:v>
      </x:c>
      <x:c r="L25" s="17" t="str">
        <x:v>1249061</x:v>
      </x:c>
      <x:c r="M25" s="22" t="n">
        <x:v>34953</x:v>
      </x:c>
      <x:c r="N25" s="26" t="n">
        <x:v>0.5</x:v>
      </x:c>
      <x:c r="O25" s="22" t="n">
        <x:v>209</x:v>
      </x:c>
      <x:c r="P25" s="22" t="n">
        <x:v>217</x:v>
      </x:c>
      <x:c r="Q25" s="22" t="n">
        <x:v>0</x:v>
      </x:c>
      <x:c r="R25" s="17" t="n">
        <x:v>21</x:v>
      </x:c>
      <x:c r="S25" s="22" t="n">
        <x:v>51</x:v>
      </x:c>
      <x:c r="T25" s="24" t="n">
        <x:v>2.1</x:v>
      </x:c>
      <x:c r="U25" s="24" t="n">
        <x:f>IFERROR(O25/T25,0)</x:f>
        <x:v>99.52380952380952</x:v>
      </x:c>
      <x:c r="V25" s="17" t="str">
        <x:f>IF(O25&lt;=0,"out_of_stock",IF(U25&lt;7,"critical_low_stock",IF(U25&gt;60,"overstock","in_stock")))</x:f>
        <x:v>overstock</x:v>
      </x:c>
      <x:c r="W25" s="17" t="str">
        <x:f>IF(O25&lt;=0,"OOS",IF(AND(U25&lt;7,AC25&gt;=0.5),"High Risk",IF(U25&lt;14,"Medium Risk",IF(U25&gt;60,"Overstock","Healthy"))))</x:f>
        <x:v>Overstock</x:v>
      </x:c>
      <x:c r="X25" s="22" t="n">
        <x:v>3222</x:v>
      </x:c>
      <x:c r="Y25" s="22" t="n">
        <x:v>152</x:v>
      </x:c>
      <x:c r="Z25" s="22" t="n">
        <x:v>1</x:v>
      </x:c>
      <x:c r="AA25" s="24" t="n">
        <x:f>IFERROR(Y25/X25*100,0)</x:f>
        <x:v>4.717566728739913</x:v>
      </x:c>
      <x:c r="AB25" s="26" t="n">
        <x:v>-12.6</x:v>
      </x:c>
      <x:c r="AC25" s="24" t="n">
        <x:f>IFERROR(Z25/X25*100,0)</x:f>
        <x:v>0.031036623215394164</x:v>
      </x:c>
      <x:c r="AD25" s="26" t="n">
        <x:v>3.7</x:v>
      </x:c>
      <x:c r="AE25" s="22" t="n">
        <x:f>IFERROR(Z25*M25,0)</x:f>
        <x:v>34953</x:v>
      </x:c>
      <x:c r="AF25" s="26" t="n">
        <x:v>-1.7</x:v>
      </x:c>
      <x:c r="AG25" s="24" t="n">
        <x:v>58</x:v>
      </x:c>
      <x:c r="AH25" s="26" t="n">
        <x:v>-1.4</x:v>
      </x:c>
      <x:c r="AI25" s="22" t="n">
        <x:v>103</x:v>
      </x:c>
      <x:c r="AJ25" s="22" t="n">
        <x:v>66</x:v>
      </x:c>
      <x:c r="AK25" s="22" t="n">
        <x:v>46</x:v>
      </x:c>
      <x:c r="AL25" s="22" t="n">
        <x:v>43</x:v>
      </x:c>
      <x:c r="AM25" s="22" t="n">
        <x:v>36</x:v>
      </x:c>
      <x:c r="AN25" s="24" t="n">
        <x:f>IFERROR(AI25/X25*100,0)</x:f>
        <x:v>3.196772191185599</x:v>
      </x:c>
      <x:c r="AO25" s="24" t="n">
        <x:f>IFERROR(AJ25/X25*100,0)</x:f>
        <x:v>2.0484171322160147</x:v>
      </x:c>
      <x:c r="AP25" s="24" t="n">
        <x:f>IFERROR(AK25/X25*100,0)</x:f>
        <x:v>1.4276846679081316</x:v>
      </x:c>
      <x:c r="AQ25" s="24" t="n">
        <x:f>IFERROR(AL25/X25*100,0)</x:f>
        <x:v>1.3345747982619491</x:v>
      </x:c>
      <x:c r="AR25" s="24" t="n">
        <x:f>IFERROR(AM25/X25*100,0)</x:f>
        <x:v>1.1173184357541899</x:v>
      </x:c>
      <x:c r="AS25" s="24" t="n">
        <x:f>IFERROR(Z25/X25*100,0)</x:f>
        <x:v>0.031036623215394164</x:v>
      </x:c>
      <x:c r="AT25" s="26" t="n">
        <x:v>-5.9</x:v>
      </x:c>
      <x:c r="AU25" s="26" t="n">
        <x:v>-6.8</x:v>
      </x:c>
      <x:c r="AV25" s="26" t="n">
        <x:v>-1.9</x:v>
      </x:c>
      <x:c r="AW25" s="26" t="n">
        <x:v>-32.3</x:v>
      </x:c>
      <x:c r="AX25" s="26" t="n">
        <x:v>-10.9</x:v>
      </x:c>
      <x:c r="AY25" s="26" t="n">
        <x:v>-13.9</x:v>
      </x:c>
      <x:c r="AZ25" s="26" t="n">
        <x:v>-6.3</x:v>
      </x:c>
      <x:c r="BA25" s="26" t="n">
        <x:v>0</x:v>
      </x:c>
      <x:c r="BB25" s="22" t="n">
        <x:f>IFERROR(AE25/Z25,0)</x:f>
        <x:v>34953</x:v>
      </x:c>
      <x:c r="BC25" s="17" t="n">
        <x:f>IF(OR(V25="out_of_stock",V25="critical_low_stock"),MAX(0,(14-U25)*T25),0)</x:f>
        <x:v>0</x:v>
      </x:c>
      <x:c r="BD25" s="22" t="n">
        <x:f>IFERROR(BC25*M25,0)</x:f>
        <x:v>0</x:v>
      </x:c>
      <x:c r="BE25" s="17" t="str">
        <x:v>stock_sales_behavior</x:v>
      </x:c>
      <x:c r="BF25" s="17" t="str">
        <x:v>copied_from_uploaded_product2 + synthetic_stock</x:v>
      </x:c>
    </x:row>
    <x:row r="26">
      <x:c r="A26" s="17" t="n">
        <x:v>25</x:v>
      </x:c>
      <x:c r="B26" s="17" t="str">
        <x:v>PRODUCT_STOCK_BEHAVIOR</x:v>
      </x:c>
      <x:c r="C26" s="20" t="n">
        <x:v>46154</x:v>
      </x:c>
      <x:c r="D26" s="17" t="str">
        <x:v>App</x:v>
      </x:c>
      <x:c r="E26" s="17" t="str">
        <x:v>Mobile</x:v>
      </x:c>
      <x:c r="F26" s="17" t="str">
        <x:v>Search Organic Generic</x:v>
      </x:c>
      <x:c r="G26" s="17" t="n">
        <x:v>28</x:v>
      </x:c>
      <x:c r="H26" s="17" t="str">
        <x:v>APPLE</x:v>
      </x:c>
      <x:c r="I26" s="17" t="str">
        <x:v>Telefon</x:v>
      </x:c>
      <x:c r="J26" s="17" t="str">
        <x:v>Cep Telefonları</x:v>
      </x:c>
      <x:c r="K26" s="17" t="str">
        <x:v>APPLE iPhone 16 Pro Max 256 GB Akıllı Telefon Siyah Titanium MYWV3TU/A</x:v>
      </x:c>
      <x:c r="L26" s="17" t="str">
        <x:v>1239587</x:v>
      </x:c>
      <x:c r="M26" s="22" t="n">
        <x:v>94547</x:v>
      </x:c>
      <x:c r="N26" s="26" t="n">
        <x:v>15</x:v>
      </x:c>
      <x:c r="O26" s="22" t="n">
        <x:v>27</x:v>
      </x:c>
      <x:c r="P26" s="22" t="n">
        <x:v>9</x:v>
      </x:c>
      <x:c r="Q26" s="22" t="n">
        <x:v>0</x:v>
      </x:c>
      <x:c r="R26" s="17" t="n">
        <x:v>5</x:v>
      </x:c>
      <x:c r="S26" s="22" t="n">
        <x:v>10</x:v>
      </x:c>
      <x:c r="T26" s="24" t="n">
        <x:v>1.2</x:v>
      </x:c>
      <x:c r="U26" s="24" t="n">
        <x:f>IFERROR(O26/T26,0)</x:f>
        <x:v>22.5</x:v>
      </x:c>
      <x:c r="V26" s="17" t="str">
        <x:f>IF(O26&lt;=0,"out_of_stock",IF(U26&lt;7,"critical_low_stock",IF(U26&gt;60,"overstock","in_stock")))</x:f>
        <x:v>in_stock</x:v>
      </x:c>
      <x:c r="W26" s="17" t="str">
        <x:f>IF(O26&lt;=0,"OOS",IF(AND(U26&lt;7,AC26&gt;=0.5),"High Risk",IF(U26&lt;14,"Medium Risk",IF(U26&gt;60,"Overstock","Healthy"))))</x:f>
        <x:v>Healthy</x:v>
      </x:c>
      <x:c r="X26" s="22" t="n">
        <x:v>3113</x:v>
      </x:c>
      <x:c r="Y26" s="22" t="n">
        <x:v>0</x:v>
      </x:c>
      <x:c r="Z26" s="22" t="n">
        <x:v>0</x:v>
      </x:c>
      <x:c r="AA26" s="24" t="n">
        <x:f>IFERROR(Y26/X26*100,0)</x:f>
        <x:v>0</x:v>
      </x:c>
      <x:c r="AB26" s="26" t="n">
        <x:v>166</x:v>
      </x:c>
      <x:c r="AC26" s="24" t="n">
        <x:f>IFERROR(Z26/X26*100,0)</x:f>
        <x:v>0</x:v>
      </x:c>
      <x:c r="AD26" s="26" t="n">
        <x:v>166</x:v>
      </x:c>
      <x:c r="AE26" s="22" t="n">
        <x:f>IFERROR(Z26*M26,0)</x:f>
        <x:v>0</x:v>
      </x:c>
      <x:c r="AF26" s="26" t="n">
        <x:v>172.9</x:v>
      </x:c>
      <x:c r="AG26" s="24" t="n">
        <x:v>44</x:v>
      </x:c>
      <x:c r="AH26" s="26" t="n">
        <x:v>-1.4</x:v>
      </x:c>
      <x:c r="AI26" s="22" t="n">
        <x:v>0</x:v>
      </x:c>
      <x:c r="AJ26" s="22" t="n">
        <x:v>0</x:v>
      </x:c>
      <x:c r="AK26" s="22" t="n">
        <x:v>0</x:v>
      </x:c>
      <x:c r="AL26" s="22" t="n">
        <x:v>0</x:v>
      </x:c>
      <x:c r="AM26" s="22" t="n">
        <x:v>0</x:v>
      </x:c>
      <x:c r="AN26" s="24" t="n">
        <x:f>IFERROR(AI26/X26*100,0)</x:f>
        <x:v>0</x:v>
      </x:c>
      <x:c r="AO26" s="24" t="n">
        <x:f>IFERROR(AJ26/X26*100,0)</x:f>
        <x:v>0</x:v>
      </x:c>
      <x:c r="AP26" s="24" t="n">
        <x:f>IFERROR(AK26/X26*100,0)</x:f>
        <x:v>0</x:v>
      </x:c>
      <x:c r="AQ26" s="24" t="n">
        <x:f>IFERROR(AL26/X26*100,0)</x:f>
        <x:v>0</x:v>
      </x:c>
      <x:c r="AR26" s="24" t="n">
        <x:f>IFERROR(AM26/X26*100,0)</x:f>
        <x:v>0</x:v>
      </x:c>
      <x:c r="AS26" s="24" t="n">
        <x:f>IFERROR(Z26/X26*100,0)</x:f>
        <x:v>0</x:v>
      </x:c>
      <x:c r="AT26" s="26" t="n">
        <x:v>11.1</x:v>
      </x:c>
      <x:c r="AU26" s="26" t="n">
        <x:v>166</x:v>
      </x:c>
      <x:c r="AV26" s="26" t="n">
        <x:v>157.3</x:v>
      </x:c>
      <x:c r="AW26" s="26" t="n">
        <x:v>-38.3</x:v>
      </x:c>
      <x:c r="AX26" s="26" t="n">
        <x:v>-1</x:v>
      </x:c>
      <x:c r="AY26" s="26" t="n">
        <x:v>-6.3</x:v>
      </x:c>
      <x:c r="AZ26" s="26" t="n">
        <x:v>-25.7</x:v>
      </x:c>
      <x:c r="BA26" s="26" t="n">
        <x:v>166</x:v>
      </x:c>
      <x:c r="BB26" s="22" t="n">
        <x:f>IFERROR(AE26/Z26,0)</x:f>
        <x:v>0</x:v>
      </x:c>
      <x:c r="BC26" s="17" t="n">
        <x:f>IF(OR(V26="out_of_stock",V26="critical_low_stock"),MAX(0,(14-U26)*T26),0)</x:f>
        <x:v>0</x:v>
      </x:c>
      <x:c r="BD26" s="22" t="n">
        <x:f>IFERROR(BC26*M26,0)</x:f>
        <x:v>0</x:v>
      </x:c>
      <x:c r="BE26" s="17" t="str">
        <x:v>stock_sales_behavior</x:v>
      </x:c>
      <x:c r="BF26" s="17" t="str">
        <x:v>copied_from_uploaded_product2 + synthetic_stock</x:v>
      </x:c>
    </x:row>
    <x:row r="27">
      <x:c r="A27" s="17" t="n">
        <x:v>26</x:v>
      </x:c>
      <x:c r="B27" s="17" t="str">
        <x:v>PRODUCT_STOCK_BEHAVIOR</x:v>
      </x:c>
      <x:c r="C27" s="20" t="n">
        <x:v>46155</x:v>
      </x:c>
      <x:c r="D27" s="17" t="str">
        <x:v>App</x:v>
      </x:c>
      <x:c r="E27" s="17" t="str">
        <x:v>App</x:v>
      </x:c>
      <x:c r="F27" s="17" t="str">
        <x:v>Search Organic Generic</x:v>
      </x:c>
      <x:c r="G27" s="17" t="n">
        <x:v>21</x:v>
      </x:c>
      <x:c r="H27" s="17" t="str">
        <x:v>DJI</x:v>
      </x:c>
      <x:c r="I27" s="17" t="str">
        <x:v>Foto &amp; Kamera &amp; Drone</x:v>
      </x:c>
      <x:c r="J27" s="17" t="str">
        <x:v>Drone</x:v>
      </x:c>
      <x:c r="K27" s="17" t="str">
        <x:v>DJI Osmo Pocket 3 Creator Combo</x:v>
      </x:c>
      <x:c r="L27" s="17" t="str">
        <x:v>1234614</x:v>
      </x:c>
      <x:c r="M27" s="22" t="n">
        <x:v>15767</x:v>
      </x:c>
      <x:c r="N27" s="26" t="n">
        <x:v>-2.5</x:v>
      </x:c>
      <x:c r="O27" s="22" t="n">
        <x:v>21</x:v>
      </x:c>
      <x:c r="P27" s="22" t="n">
        <x:v>32</x:v>
      </x:c>
      <x:c r="Q27" s="22" t="n">
        <x:v>74</x:v>
      </x:c>
      <x:c r="R27" s="17" t="n">
        <x:v>21</x:v>
      </x:c>
      <x:c r="S27" s="22" t="n">
        <x:v>46</x:v>
      </x:c>
      <x:c r="T27" s="24" t="n">
        <x:v>1.9</x:v>
      </x:c>
      <x:c r="U27" s="24" t="n">
        <x:f>IFERROR(O27/T27,0)</x:f>
        <x:v>11.052631578947368</x:v>
      </x:c>
      <x:c r="V27" s="17" t="str">
        <x:f>IF(O27&lt;=0,"out_of_stock",IF(U27&lt;7,"critical_low_stock",IF(U27&gt;60,"overstock","in_stock")))</x:f>
        <x:v>in_stock</x:v>
      </x:c>
      <x:c r="W27" s="17" t="str">
        <x:f>IF(O27&lt;=0,"OOS",IF(AND(U27&lt;7,AC27&gt;=0.5),"High Risk",IF(U27&lt;14,"Medium Risk",IF(U27&gt;60,"Overstock","Healthy"))))</x:f>
        <x:v>Medium Risk</x:v>
      </x:c>
      <x:c r="X27" s="22" t="n">
        <x:v>3079</x:v>
      </x:c>
      <x:c r="Y27" s="22" t="n">
        <x:v>42</x:v>
      </x:c>
      <x:c r="Z27" s="22" t="n">
        <x:v>0</x:v>
      </x:c>
      <x:c r="AA27" s="24" t="n">
        <x:f>IFERROR(Y27/X27*100,0)</x:f>
        <x:v>1.3640792465086067</x:v>
      </x:c>
      <x:c r="AB27" s="26" t="n">
        <x:v>-24.5</x:v>
      </x:c>
      <x:c r="AC27" s="24" t="n">
        <x:f>IFERROR(Z27/X27*100,0)</x:f>
        <x:v>0</x:v>
      </x:c>
      <x:c r="AD27" s="26" t="n">
        <x:v>-100</x:v>
      </x:c>
      <x:c r="AE27" s="22" t="n">
        <x:f>IFERROR(Z27*M27,0)</x:f>
        <x:v>0</x:v>
      </x:c>
      <x:c r="AF27" s="26" t="n">
        <x:v>-95</x:v>
      </x:c>
      <x:c r="AG27" s="24" t="n">
        <x:v>71</x:v>
      </x:c>
      <x:c r="AH27" s="26" t="n">
        <x:v>-1.5</x:v>
      </x:c>
      <x:c r="AI27" s="22" t="n">
        <x:v>39</x:v>
      </x:c>
      <x:c r="AJ27" s="22" t="n">
        <x:v>17</x:v>
      </x:c>
      <x:c r="AK27" s="22" t="n">
        <x:v>11</x:v>
      </x:c>
      <x:c r="AL27" s="22" t="n">
        <x:v>11</x:v>
      </x:c>
      <x:c r="AM27" s="22" t="n">
        <x:v>9</x:v>
      </x:c>
      <x:c r="AN27" s="24" t="n">
        <x:f>IFERROR(AI27/X27*100,0)</x:f>
        <x:v>1.2666450146151347</x:v>
      </x:c>
      <x:c r="AO27" s="24" t="n">
        <x:f>IFERROR(AJ27/X27*100,0)</x:f>
        <x:v>0.5521273140630074</x:v>
      </x:c>
      <x:c r="AP27" s="24" t="n">
        <x:f>IFERROR(AK27/X27*100,0)</x:f>
        <x:v>0.3572588502760637</x:v>
      </x:c>
      <x:c r="AQ27" s="24" t="n">
        <x:f>IFERROR(AL27/X27*100,0)</x:f>
        <x:v>0.3572588502760637</x:v>
      </x:c>
      <x:c r="AR27" s="24" t="n">
        <x:f>IFERROR(AM27/X27*100,0)</x:f>
        <x:v>0.2923026956804157</x:v>
      </x:c>
      <x:c r="AS27" s="24" t="n">
        <x:f>IFERROR(Z27/X27*100,0)</x:f>
        <x:v>0</x:v>
      </x:c>
      <x:c r="AT27" s="26" t="n">
        <x:v>17</x:v>
      </x:c>
      <x:c r="AU27" s="26" t="n">
        <x:v>-22</x:v>
      </x:c>
      <x:c r="AV27" s="26" t="n">
        <x:v>-22.2</x:v>
      </x:c>
      <x:c r="AW27" s="26" t="n">
        <x:v>-50.4</x:v>
      </x:c>
      <x:c r="AX27" s="26" t="n">
        <x:v>-3</x:v>
      </x:c>
      <x:c r="AY27" s="26" t="n">
        <x:v>-7.5</x:v>
      </x:c>
      <x:c r="AZ27" s="26" t="n">
        <x:v>-4.9</x:v>
      </x:c>
      <x:c r="BA27" s="26" t="n">
        <x:v>-100</x:v>
      </x:c>
      <x:c r="BB27" s="22" t="n">
        <x:f>IFERROR(AE27/Z27,0)</x:f>
        <x:v>0</x:v>
      </x:c>
      <x:c r="BC27" s="17" t="n">
        <x:f>IF(OR(V27="out_of_stock",V27="critical_low_stock"),MAX(0,(14-U27)*T27),0)</x:f>
        <x:v>0</x:v>
      </x:c>
      <x:c r="BD27" s="22" t="n">
        <x:f>IFERROR(BC27*M27,0)</x:f>
        <x:v>0</x:v>
      </x:c>
      <x:c r="BE27" s="17" t="str">
        <x:v>stock_sales_behavior</x:v>
      </x:c>
      <x:c r="BF27" s="17" t="str">
        <x:v>copied_from_uploaded_product2 + synthetic_stock</x:v>
      </x:c>
    </x:row>
    <x:row r="28">
      <x:c r="A28" s="17" t="n">
        <x:v>27</x:v>
      </x:c>
      <x:c r="B28" s="17" t="str">
        <x:v>PRODUCT_STOCK_BEHAVIOR</x:v>
      </x:c>
      <x:c r="C28" s="20" t="n">
        <x:v>46156</x:v>
      </x:c>
      <x:c r="D28" s="17" t="str">
        <x:v>Mobile Web</x:v>
      </x:c>
      <x:c r="E28" s="17" t="str">
        <x:v>Desktop</x:v>
      </x:c>
      <x:c r="F28" s="17" t="str">
        <x:v>Direct</x:v>
      </x:c>
      <x:c r="G28" s="17" t="n">
        <x:v>7</x:v>
      </x:c>
      <x:c r="H28" s="17" t="str">
        <x:v>APPLE</x:v>
      </x:c>
      <x:c r="I28" s="17" t="str">
        <x:v>Telefon</x:v>
      </x:c>
      <x:c r="J28" s="17" t="str">
        <x:v>Kulaklıklar</x:v>
      </x:c>
      <x:c r="K28" s="17" t="str">
        <x:v>APPLE Airpods 4 Bluetooth Kulak İçi Kulaklık MXP63TU/A</x:v>
      </x:c>
      <x:c r="L28" s="17" t="str">
        <x:v>1239693</x:v>
      </x:c>
      <x:c r="M28" s="22" t="n">
        <x:v>6812</x:v>
      </x:c>
      <x:c r="N28" s="26" t="n">
        <x:v>12.6</x:v>
      </x:c>
      <x:c r="O28" s="22" t="n">
        <x:v>49</x:v>
      </x:c>
      <x:c r="P28" s="22" t="n">
        <x:v>49</x:v>
      </x:c>
      <x:c r="Q28" s="22" t="n">
        <x:v>0</x:v>
      </x:c>
      <x:c r="R28" s="17" t="n">
        <x:v>5</x:v>
      </x:c>
      <x:c r="S28" s="22" t="n">
        <x:v>62</x:v>
      </x:c>
      <x:c r="T28" s="24" t="n">
        <x:v>7.7</x:v>
      </x:c>
      <x:c r="U28" s="24" t="n">
        <x:f>IFERROR(O28/T28,0)</x:f>
        <x:v>6.363636363636363</x:v>
      </x:c>
      <x:c r="V28" s="17" t="str">
        <x:f>IF(O28&lt;=0,"out_of_stock",IF(U28&lt;7,"critical_low_stock",IF(U28&gt;60,"overstock","in_stock")))</x:f>
        <x:v>critical_low_stock</x:v>
      </x:c>
      <x:c r="W28" s="17" t="str">
        <x:f>IF(O28&lt;=0,"OOS",IF(AND(U28&lt;7,AC28&gt;=0.5),"High Risk",IF(U28&lt;14,"Medium Risk",IF(U28&gt;60,"Overstock","Healthy"))))</x:f>
        <x:v>High Risk</x:v>
      </x:c>
      <x:c r="X28" s="22" t="n">
        <x:v>2793</x:v>
      </x:c>
      <x:c r="Y28" s="22" t="n">
        <x:v>251</x:v>
      </x:c>
      <x:c r="Z28" s="22" t="n">
        <x:v>40</x:v>
      </x:c>
      <x:c r="AA28" s="24" t="n">
        <x:f>IFERROR(Y28/X28*100,0)</x:f>
        <x:v>8.986752595775153</x:v>
      </x:c>
      <x:c r="AB28" s="26" t="n">
        <x:v>-13.1</x:v>
      </x:c>
      <x:c r="AC28" s="24" t="n">
        <x:f>IFERROR(Z28/X28*100,0)</x:f>
        <x:v>1.4321518080916578</x:v>
      </x:c>
      <x:c r="AD28" s="26" t="n">
        <x:v>15.2</x:v>
      </x:c>
      <x:c r="AE28" s="22" t="n">
        <x:f>IFERROR(Z28*M28,0)</x:f>
        <x:v>272480</x:v>
      </x:c>
      <x:c r="AF28" s="26" t="n">
        <x:v>33.5</x:v>
      </x:c>
      <x:c r="AG28" s="24" t="n">
        <x:v>59</x:v>
      </x:c>
      <x:c r="AH28" s="26" t="n">
        <x:v>-5.9</x:v>
      </x:c>
      <x:c r="AI28" s="22" t="n">
        <x:v>197</x:v>
      </x:c>
      <x:c r="AJ28" s="22" t="n">
        <x:v>118</x:v>
      </x:c>
      <x:c r="AK28" s="22" t="n">
        <x:v>63</x:v>
      </x:c>
      <x:c r="AL28" s="22" t="n">
        <x:v>50</x:v>
      </x:c>
      <x:c r="AM28" s="22" t="n">
        <x:v>42</x:v>
      </x:c>
      <x:c r="AN28" s="24" t="n">
        <x:f>IFERROR(AI28/X28*100,0)</x:f>
        <x:v>7.0533476548514145</x:v>
      </x:c>
      <x:c r="AO28" s="24" t="n">
        <x:f>IFERROR(AJ28/X28*100,0)</x:f>
        <x:v>4.22484783387039</x:v>
      </x:c>
      <x:c r="AP28" s="24" t="n">
        <x:f>IFERROR(AK28/X28*100,0)</x:f>
        <x:v>2.2556390977443606</x:v>
      </x:c>
      <x:c r="AQ28" s="24" t="n">
        <x:f>IFERROR(AL28/X28*100,0)</x:f>
        <x:v>1.790189760114572</x:v>
      </x:c>
      <x:c r="AR28" s="24" t="n">
        <x:f>IFERROR(AM28/X28*100,0)</x:f>
        <x:v>1.5037593984962405</x:v>
      </x:c>
      <x:c r="AS28" s="24" t="n">
        <x:f>IFERROR(Z28/X28*100,0)</x:f>
        <x:v>1.4321518080916578</x:v>
      </x:c>
      <x:c r="AT28" s="26" t="n">
        <x:v>13.4</x:v>
      </x:c>
      <x:c r="AU28" s="26" t="n">
        <x:v>-1.4</x:v>
      </x:c>
      <x:c r="AV28" s="26" t="n">
        <x:v>-7.2</x:v>
      </x:c>
      <x:c r="AW28" s="26" t="n">
        <x:v>-45.6</x:v>
      </x:c>
      <x:c r="AX28" s="26" t="n">
        <x:v>6.6</x:v>
      </x:c>
      <x:c r="AY28" s="26" t="n">
        <x:v>-7.9</x:v>
      </x:c>
      <x:c r="AZ28" s="26" t="n">
        <x:v>-1.2</x:v>
      </x:c>
      <x:c r="BA28" s="26" t="n">
        <x:v>30.4</x:v>
      </x:c>
      <x:c r="BB28" s="22" t="n">
        <x:f>IFERROR(AE28/Z28,0)</x:f>
        <x:v>6812</x:v>
      </x:c>
      <x:c r="BC28" s="17" t="n">
        <x:f>IF(OR(V28="out_of_stock",V28="critical_low_stock"),MAX(0,(14-U28)*T28),0)</x:f>
        <x:v>58.800000000000004</x:v>
      </x:c>
      <x:c r="BD28" s="22" t="n">
        <x:f>IFERROR(BC28*M28,0)</x:f>
        <x:v>400545.60000000003</x:v>
      </x:c>
      <x:c r="BE28" s="17" t="str">
        <x:v>stock_sales_behavior</x:v>
      </x:c>
      <x:c r="BF28" s="17" t="str">
        <x:v>copied_from_uploaded_product2 + synthetic_stock</x:v>
      </x:c>
    </x:row>
    <x:row r="29">
      <x:c r="A29" s="17" t="n">
        <x:v>28</x:v>
      </x:c>
      <x:c r="B29" s="17" t="str">
        <x:v>PRODUCT_STOCK_BEHAVIOR</x:v>
      </x:c>
      <x:c r="C29" s="20" t="n">
        <x:v>46143</x:v>
      </x:c>
      <x:c r="D29" s="17" t="str">
        <x:v>Web</x:v>
      </x:c>
      <x:c r="E29" s="17" t="str">
        <x:v>Mobile</x:v>
      </x:c>
      <x:c r="F29" s="17" t="str">
        <x:v>Search Paid Brand</x:v>
      </x:c>
      <x:c r="G29" s="17" t="n">
        <x:v>7</x:v>
      </x:c>
      <x:c r="H29" s="17" t="str">
        <x:v>APPLE</x:v>
      </x:c>
      <x:c r="I29" s="17" t="str">
        <x:v>Telefon</x:v>
      </x:c>
      <x:c r="J29" s="17" t="str">
        <x:v>Kulaklıklar</x:v>
      </x:c>
      <x:c r="K29" s="17" t="str">
        <x:v>APPLE Airpods 4 Aktif Gürültü Engelleme Özellikli Bluetooth Kulak İçi Kulaklık MXP93TU/A </x:v>
      </x:c>
      <x:c r="L29" s="17" t="str">
        <x:v>1239694</x:v>
      </x:c>
      <x:c r="M29" s="22" t="n">
        <x:v>6953</x:v>
      </x:c>
      <x:c r="N29" s="26" t="n">
        <x:v>-8.6</x:v>
      </x:c>
      <x:c r="O29" s="22" t="n">
        <x:v>332</x:v>
      </x:c>
      <x:c r="P29" s="22" t="n">
        <x:v>92</x:v>
      </x:c>
      <x:c r="Q29" s="22" t="n">
        <x:v>0</x:v>
      </x:c>
      <x:c r="R29" s="17" t="n">
        <x:v>3</x:v>
      </x:c>
      <x:c r="S29" s="22" t="n">
        <x:v>46</x:v>
      </x:c>
      <x:c r="T29" s="24" t="n">
        <x:v>7.6</x:v>
      </x:c>
      <x:c r="U29" s="24" t="n">
        <x:f>IFERROR(O29/T29,0)</x:f>
        <x:v>43.684210526315795</x:v>
      </x:c>
      <x:c r="V29" s="17" t="str">
        <x:f>IF(O29&lt;=0,"out_of_stock",IF(U29&lt;7,"critical_low_stock",IF(U29&gt;60,"overstock","in_stock")))</x:f>
        <x:v>in_stock</x:v>
      </x:c>
      <x:c r="W29" s="17" t="str">
        <x:f>IF(O29&lt;=0,"OOS",IF(AND(U29&lt;7,AC29&gt;=0.5),"High Risk",IF(U29&lt;14,"Medium Risk",IF(U29&gt;60,"Overstock","Healthy"))))</x:f>
        <x:v>Healthy</x:v>
      </x:c>
      <x:c r="X29" s="22" t="n">
        <x:v>2525</x:v>
      </x:c>
      <x:c r="Y29" s="22" t="n">
        <x:v>212</x:v>
      </x:c>
      <x:c r="Z29" s="22" t="n">
        <x:v>51</x:v>
      </x:c>
      <x:c r="AA29" s="24" t="n">
        <x:f>IFERROR(Y29/X29*100,0)</x:f>
        <x:v>8.396039603960396</x:v>
      </x:c>
      <x:c r="AB29" s="26" t="n">
        <x:v>29.9</x:v>
      </x:c>
      <x:c r="AC29" s="24" t="n">
        <x:f>IFERROR(Z29/X29*100,0)</x:f>
        <x:v>2.01980198019802</x:v>
      </x:c>
      <x:c r="AD29" s="26" t="n">
        <x:v>80.1</x:v>
      </x:c>
      <x:c r="AE29" s="22" t="n">
        <x:f>IFERROR(Z29*M29,0)</x:f>
        <x:v>354603</x:v>
      </x:c>
      <x:c r="AF29" s="26" t="n">
        <x:v>63</x:v>
      </x:c>
      <x:c r="AG29" s="24" t="n">
        <x:v>65</x:v>
      </x:c>
      <x:c r="AH29" s="26" t="n">
        <x:v>-0.8</x:v>
      </x:c>
      <x:c r="AI29" s="22" t="n">
        <x:v>197</x:v>
      </x:c>
      <x:c r="AJ29" s="22" t="n">
        <x:v>79</x:v>
      </x:c>
      <x:c r="AK29" s="22" t="n">
        <x:v>42</x:v>
      </x:c>
      <x:c r="AL29" s="22" t="n">
        <x:v>41</x:v>
      </x:c>
      <x:c r="AM29" s="22" t="n">
        <x:v>51</x:v>
      </x:c>
      <x:c r="AN29" s="24" t="n">
        <x:f>IFERROR(AI29/X29*100,0)</x:f>
        <x:v>7.801980198019802</x:v>
      </x:c>
      <x:c r="AO29" s="24" t="n">
        <x:f>IFERROR(AJ29/X29*100,0)</x:f>
        <x:v>3.128712871287129</x:v>
      </x:c>
      <x:c r="AP29" s="24" t="n">
        <x:f>IFERROR(AK29/X29*100,0)</x:f>
        <x:v>1.6633663366336635</x:v>
      </x:c>
      <x:c r="AQ29" s="24" t="n">
        <x:f>IFERROR(AL29/X29*100,0)</x:f>
        <x:v>1.6237623762376239</x:v>
      </x:c>
      <x:c r="AR29" s="24" t="n">
        <x:f>IFERROR(AM29/X29*100,0)</x:f>
        <x:v>2.01980198019802</x:v>
      </x:c>
      <x:c r="AS29" s="24" t="n">
        <x:f>IFERROR(Z29/X29*100,0)</x:f>
        <x:v>2.01980198019802</x:v>
      </x:c>
      <x:c r="AT29" s="26" t="n">
        <x:v>6</x:v>
      </x:c>
      <x:c r="AU29" s="26" t="n">
        <x:v>45</x:v>
      </x:c>
      <x:c r="AV29" s="26" t="n">
        <x:v>47.4</x:v>
      </x:c>
      <x:c r="AW29" s="26" t="n">
        <x:v>-53.5</x:v>
      </x:c>
      <x:c r="AX29" s="26" t="n">
        <x:v>-3.4</x:v>
      </x:c>
      <x:c r="AY29" s="26" t="n">
        <x:v>-19.9</x:v>
      </x:c>
      <x:c r="AZ29" s="26" t="n">
        <x:v>7.6</x:v>
      </x:c>
      <x:c r="BA29" s="26" t="n">
        <x:v>85.7</x:v>
      </x:c>
      <x:c r="BB29" s="22" t="n">
        <x:f>IFERROR(AE29/Z29,0)</x:f>
        <x:v>6953</x:v>
      </x:c>
      <x:c r="BC29" s="17" t="n">
        <x:f>IF(OR(V29="out_of_stock",V29="critical_low_stock"),MAX(0,(14-U29)*T29),0)</x:f>
        <x:v>0</x:v>
      </x:c>
      <x:c r="BD29" s="22" t="n">
        <x:f>IFERROR(BC29*M29,0)</x:f>
        <x:v>0</x:v>
      </x:c>
      <x:c r="BE29" s="17" t="str">
        <x:v>stock_sales_behavior</x:v>
      </x:c>
      <x:c r="BF29" s="17" t="str">
        <x:v>copied_from_uploaded_product2 + synthetic_stock</x:v>
      </x:c>
    </x:row>
    <x:row r="30">
      <x:c r="A30" s="17" t="n">
        <x:v>29</x:v>
      </x:c>
      <x:c r="B30" s="17" t="str">
        <x:v>PRODUCT_STOCK_BEHAVIOR</x:v>
      </x:c>
      <x:c r="C30" s="20" t="n">
        <x:v>46144</x:v>
      </x:c>
      <x:c r="D30" s="17" t="str">
        <x:v>App</x:v>
      </x:c>
      <x:c r="E30" s="17" t="str">
        <x:v>App</x:v>
      </x:c>
      <x:c r="F30" s="17" t="str">
        <x:v>Price Comparison</x:v>
      </x:c>
      <x:c r="G30" s="17" t="n">
        <x:v>21</x:v>
      </x:c>
      <x:c r="H30" s="17" t="str">
        <x:v>DJI</x:v>
      </x:c>
      <x:c r="I30" s="17" t="str">
        <x:v>Foto &amp; Kamera &amp; Drone</x:v>
      </x:c>
      <x:c r="J30" s="17" t="str">
        <x:v>Drone</x:v>
      </x:c>
      <x:c r="K30" s="17" t="str">
        <x:v>DJI Osmo Pocket 4 Creator Combo Gimbal</x:v>
      </x:c>
      <x:c r="L30" s="17" t="str">
        <x:v>1254263</x:v>
      </x:c>
      <x:c r="M30" s="22" t="n">
        <x:v>17238</x:v>
      </x:c>
      <x:c r="N30" s="26" t="n">
        <x:v>11.5</x:v>
      </x:c>
      <x:c r="O30" s="22" t="n">
        <x:v>265</x:v>
      </x:c>
      <x:c r="P30" s="22" t="n">
        <x:v>436</x:v>
      </x:c>
      <x:c r="Q30" s="22" t="n">
        <x:v>0</x:v>
      </x:c>
      <x:c r="R30" s="17" t="n">
        <x:v>5</x:v>
      </x:c>
      <x:c r="S30" s="22" t="n">
        <x:v>57</x:v>
      </x:c>
      <x:c r="T30" s="24" t="n">
        <x:v>7.1</x:v>
      </x:c>
      <x:c r="U30" s="24" t="n">
        <x:f>IFERROR(O30/T30,0)</x:f>
        <x:v>37.32394366197183</x:v>
      </x:c>
      <x:c r="V30" s="17" t="str">
        <x:f>IF(O30&lt;=0,"out_of_stock",IF(U30&lt;7,"critical_low_stock",IF(U30&gt;60,"overstock","in_stock")))</x:f>
        <x:v>in_stock</x:v>
      </x:c>
      <x:c r="W30" s="17" t="str">
        <x:f>IF(O30&lt;=0,"OOS",IF(AND(U30&lt;7,AC30&gt;=0.5),"High Risk",IF(U30&lt;14,"Medium Risk",IF(U30&gt;60,"Overstock","Healthy"))))</x:f>
        <x:v>Healthy</x:v>
      </x:c>
      <x:c r="X30" s="22" t="n">
        <x:v>2475</x:v>
      </x:c>
      <x:c r="Y30" s="22" t="n">
        <x:v>119</x:v>
      </x:c>
      <x:c r="Z30" s="22" t="n">
        <x:v>37</x:v>
      </x:c>
      <x:c r="AA30" s="24" t="n">
        <x:f>IFERROR(Y30/X30*100,0)</x:f>
        <x:v>4.808080808080808</x:v>
      </x:c>
      <x:c r="AB30" s="26" t="n">
        <x:v>18.5</x:v>
      </x:c>
      <x:c r="AC30" s="24" t="n">
        <x:f>IFERROR(Z30/X30*100,0)</x:f>
        <x:v>1.494949494949495</x:v>
      </x:c>
      <x:c r="AD30" s="26" t="n">
        <x:v>-37.8</x:v>
      </x:c>
      <x:c r="AE30" s="22" t="n">
        <x:f>IFERROR(Z30*M30,0)</x:f>
        <x:v>637806</x:v>
      </x:c>
      <x:c r="AF30" s="26" t="n">
        <x:v>-13.1</x:v>
      </x:c>
      <x:c r="AG30" s="24" t="n">
        <x:v>69</x:v>
      </x:c>
      <x:c r="AH30" s="26" t="n">
        <x:v>-1.3</x:v>
      </x:c>
      <x:c r="AI30" s="22" t="n">
        <x:v>100</x:v>
      </x:c>
      <x:c r="AJ30" s="22" t="n">
        <x:v>65</x:v>
      </x:c>
      <x:c r="AK30" s="22" t="n">
        <x:v>37</x:v>
      </x:c>
      <x:c r="AL30" s="22" t="n">
        <x:v>28</x:v>
      </x:c>
      <x:c r="AM30" s="22" t="n">
        <x:v>37</x:v>
      </x:c>
      <x:c r="AN30" s="24" t="n">
        <x:f>IFERROR(AI30/X30*100,0)</x:f>
        <x:v>4.040404040404041</x:v>
      </x:c>
      <x:c r="AO30" s="24" t="n">
        <x:f>IFERROR(AJ30/X30*100,0)</x:f>
        <x:v>2.6262626262626263</x:v>
      </x:c>
      <x:c r="AP30" s="24" t="n">
        <x:f>IFERROR(AK30/X30*100,0)</x:f>
        <x:v>1.494949494949495</x:v>
      </x:c>
      <x:c r="AQ30" s="24" t="n">
        <x:f>IFERROR(AL30/X30*100,0)</x:f>
        <x:v>1.1313131313131313</x:v>
      </x:c>
      <x:c r="AR30" s="24" t="n">
        <x:f>IFERROR(AM30/X30*100,0)</x:f>
        <x:v>1.494949494949495</x:v>
      </x:c>
      <x:c r="AS30" s="24" t="n">
        <x:f>IFERROR(Z30/X30*100,0)</x:f>
        <x:v>1.494949494949495</x:v>
      </x:c>
      <x:c r="AT30" s="26" t="n">
        <x:v>-0.6</x:v>
      </x:c>
      <x:c r="AU30" s="26" t="n">
        <x:v>14.3</x:v>
      </x:c>
      <x:c r="AV30" s="26" t="n">
        <x:v>12.2</x:v>
      </x:c>
      <x:c r="AW30" s="26" t="n">
        <x:v>-10.6</x:v>
      </x:c>
      <x:c r="AX30" s="26" t="n">
        <x:v>-17.3</x:v>
      </x:c>
      <x:c r="AY30" s="26" t="n">
        <x:v>6.1</x:v>
      </x:c>
      <x:c r="AZ30" s="26" t="n">
        <x:v>-6.8</x:v>
      </x:c>
      <x:c r="BA30" s="26" t="n">
        <x:v>-37.5</x:v>
      </x:c>
      <x:c r="BB30" s="22" t="n">
        <x:f>IFERROR(AE30/Z30,0)</x:f>
        <x:v>17238</x:v>
      </x:c>
      <x:c r="BC30" s="17" t="n">
        <x:f>IF(OR(V30="out_of_stock",V30="critical_low_stock"),MAX(0,(14-U30)*T30),0)</x:f>
        <x:v>0</x:v>
      </x:c>
      <x:c r="BD30" s="22" t="n">
        <x:f>IFERROR(BC30*M30,0)</x:f>
        <x:v>0</x:v>
      </x:c>
      <x:c r="BE30" s="17" t="str">
        <x:v>stock_sales_behavior</x:v>
      </x:c>
      <x:c r="BF30" s="17" t="str">
        <x:v>copied_from_uploaded_product2 + synthetic_stock</x:v>
      </x:c>
    </x:row>
    <x:row r="31">
      <x:c r="A31" s="17" t="n">
        <x:v>30</x:v>
      </x:c>
      <x:c r="B31" s="17" t="str">
        <x:v>PRODUCT_STOCK_BEHAVIOR</x:v>
      </x:c>
      <x:c r="C31" s="20" t="n">
        <x:v>46145</x:v>
      </x:c>
      <x:c r="D31" s="17" t="str">
        <x:v>Mobile Web</x:v>
      </x:c>
      <x:c r="E31" s="17" t="str">
        <x:v>Mobile</x:v>
      </x:c>
      <x:c r="F31" s="17" t="str">
        <x:v>Price Comparison</x:v>
      </x:c>
      <x:c r="G31" s="17" t="n">
        <x:v>28</x:v>
      </x:c>
      <x:c r="H31" s="17" t="str">
        <x:v>APPLE</x:v>
      </x:c>
      <x:c r="I31" s="17" t="str">
        <x:v>Telefon</x:v>
      </x:c>
      <x:c r="J31" s="17" t="str">
        <x:v>Cep Telefonları</x:v>
      </x:c>
      <x:c r="K31" s="17" t="str">
        <x:v>APPLE iPhone 16 128 GB Akıllı Telefon Teal MYED3TU/A</x:v>
      </x:c>
      <x:c r="L31" s="17" t="str">
        <x:v>1239565</x:v>
      </x:c>
      <x:c r="M31" s="22" t="n">
        <x:v>45339</x:v>
      </x:c>
      <x:c r="N31" s="26" t="n">
        <x:v>11.4</x:v>
      </x:c>
      <x:c r="O31" s="22" t="n">
        <x:v>63</x:v>
      </x:c>
      <x:c r="P31" s="22" t="n">
        <x:v>24</x:v>
      </x:c>
      <x:c r="Q31" s="22" t="n">
        <x:v>0</x:v>
      </x:c>
      <x:c r="R31" s="17" t="n">
        <x:v>21</x:v>
      </x:c>
      <x:c r="S31" s="22" t="n">
        <x:v>41</x:v>
      </x:c>
      <x:c r="T31" s="24" t="n">
        <x:v>1.7</x:v>
      </x:c>
      <x:c r="U31" s="24" t="n">
        <x:f>IFERROR(O31/T31,0)</x:f>
        <x:v>37.05882352941177</x:v>
      </x:c>
      <x:c r="V31" s="17" t="str">
        <x:f>IF(O31&lt;=0,"out_of_stock",IF(U31&lt;7,"critical_low_stock",IF(U31&gt;60,"overstock","in_stock")))</x:f>
        <x:v>in_stock</x:v>
      </x:c>
      <x:c r="W31" s="17" t="str">
        <x:f>IF(O31&lt;=0,"OOS",IF(AND(U31&lt;7,AC31&gt;=0.5),"High Risk",IF(U31&lt;14,"Medium Risk",IF(U31&gt;60,"Overstock","Healthy"))))</x:f>
        <x:v>Healthy</x:v>
      </x:c>
      <x:c r="X31" s="22" t="n">
        <x:v>2286</x:v>
      </x:c>
      <x:c r="Y31" s="22" t="n">
        <x:v>138</x:v>
      </x:c>
      <x:c r="Z31" s="22" t="n">
        <x:v>6</x:v>
      </x:c>
      <x:c r="AA31" s="24" t="n">
        <x:f>IFERROR(Y31/X31*100,0)</x:f>
        <x:v>6.036745406824147</x:v>
      </x:c>
      <x:c r="AB31" s="26" t="n">
        <x:v>-16.6</x:v>
      </x:c>
      <x:c r="AC31" s="24" t="n">
        <x:f>IFERROR(Z31/X31*100,0)</x:f>
        <x:v>0.26246719160104987</x:v>
      </x:c>
      <x:c r="AD31" s="26" t="n">
        <x:v>78.8</x:v>
      </x:c>
      <x:c r="AE31" s="22" t="n">
        <x:f>IFERROR(Z31*M31,0)</x:f>
        <x:v>272034</x:v>
      </x:c>
      <x:c r="AF31" s="26" t="n">
        <x:v>111.6</x:v>
      </x:c>
      <x:c r="AG31" s="24" t="n">
        <x:v>58</x:v>
      </x:c>
      <x:c r="AH31" s="26" t="n">
        <x:v>-2.8</x:v>
      </x:c>
      <x:c r="AI31" s="22" t="n">
        <x:v>130</x:v>
      </x:c>
      <x:c r="AJ31" s="22" t="n">
        <x:v>85</x:v>
      </x:c>
      <x:c r="AK31" s="22" t="n">
        <x:v>56</x:v>
      </x:c>
      <x:c r="AL31" s="22" t="n">
        <x:v>45</x:v>
      </x:c>
      <x:c r="AM31" s="22" t="n">
        <x:v>26</x:v>
      </x:c>
      <x:c r="AN31" s="24" t="n">
        <x:f>IFERROR(AI31/X31*100,0)</x:f>
        <x:v>5.68678915135608</x:v>
      </x:c>
      <x:c r="AO31" s="24" t="n">
        <x:f>IFERROR(AJ31/X31*100,0)</x:f>
        <x:v>3.718285214348206</x:v>
      </x:c>
      <x:c r="AP31" s="24" t="n">
        <x:f>IFERROR(AK31/X31*100,0)</x:f>
        <x:v>2.4496937882764653</x:v>
      </x:c>
      <x:c r="AQ31" s="24" t="n">
        <x:f>IFERROR(AL31/X31*100,0)</x:f>
        <x:v>1.968503937007874</x:v>
      </x:c>
      <x:c r="AR31" s="24" t="n">
        <x:f>IFERROR(AM31/X31*100,0)</x:f>
        <x:v>1.1373578302712162</x:v>
      </x:c>
      <x:c r="AS31" s="24" t="n">
        <x:f>IFERROR(Z31/X31*100,0)</x:f>
        <x:v>0.26246719160104987</x:v>
      </x:c>
      <x:c r="AT31" s="26" t="n">
        <x:v>12.2</x:v>
      </x:c>
      <x:c r="AU31" s="26" t="n">
        <x:v>-5</x:v>
      </x:c>
      <x:c r="AV31" s="26" t="n">
        <x:v>1.4</x:v>
      </x:c>
      <x:c r="AW31" s="26" t="n">
        <x:v>-65.5</x:v>
      </x:c>
      <x:c r="AX31" s="26" t="n">
        <x:v>13.6</x:v>
      </x:c>
      <x:c r="AY31" s="26" t="n">
        <x:v>3.6</x:v>
      </x:c>
      <x:c r="AZ31" s="26" t="n">
        <x:v>2.3</x:v>
      </x:c>
      <x:c r="BA31" s="26" t="n">
        <x:v>100</x:v>
      </x:c>
      <x:c r="BB31" s="22" t="n">
        <x:f>IFERROR(AE31/Z31,0)</x:f>
        <x:v>45339</x:v>
      </x:c>
      <x:c r="BC31" s="17" t="n">
        <x:f>IF(OR(V31="out_of_stock",V31="critical_low_stock"),MAX(0,(14-U31)*T31),0)</x:f>
        <x:v>0</x:v>
      </x:c>
      <x:c r="BD31" s="22" t="n">
        <x:f>IFERROR(BC31*M31,0)</x:f>
        <x:v>0</x:v>
      </x:c>
      <x:c r="BE31" s="17" t="str">
        <x:v>stock_sales_behavior</x:v>
      </x:c>
      <x:c r="BF31" s="17" t="str">
        <x:v>copied_from_uploaded_product2 + synthetic_stock</x:v>
      </x:c>
    </x:row>
    <x:row r="32">
      <x:c r="A32" s="17" t="n">
        <x:v>31</x:v>
      </x:c>
      <x:c r="B32" s="17" t="str">
        <x:v>PRODUCT_STOCK_BEHAVIOR</x:v>
      </x:c>
      <x:c r="C32" s="20" t="n">
        <x:v>46146</x:v>
      </x:c>
      <x:c r="D32" s="17" t="str">
        <x:v>Mobile Web</x:v>
      </x:c>
      <x:c r="E32" s="17" t="str">
        <x:v>Mobile</x:v>
      </x:c>
      <x:c r="F32" s="17" t="str">
        <x:v>CRM</x:v>
      </x:c>
      <x:c r="G32" s="17" t="n">
        <x:v>28</x:v>
      </x:c>
      <x:c r="H32" s="17" t="str">
        <x:v>SAMSUNG</x:v>
      </x:c>
      <x:c r="I32" s="17" t="str">
        <x:v>Telefon</x:v>
      </x:c>
      <x:c r="J32" s="17" t="str">
        <x:v>Cep Telefonları</x:v>
      </x:c>
      <x:c r="K32" s="17" t="str">
        <x:v>SAMSUNG Galaxy A26 5G 8/256GB Akıllı Telefon Beyaz</x:v>
      </x:c>
      <x:c r="L32" s="17" t="str">
        <x:v>1245788</x:v>
      </x:c>
      <x:c r="M32" s="22" t="n">
        <x:v>37026</x:v>
      </x:c>
      <x:c r="N32" s="26" t="n">
        <x:v>-0.4</x:v>
      </x:c>
      <x:c r="O32" s="22" t="n">
        <x:v>182</x:v>
      </x:c>
      <x:c r="P32" s="22" t="n">
        <x:v>257</x:v>
      </x:c>
      <x:c r="Q32" s="22" t="n">
        <x:v>320</x:v>
      </x:c>
      <x:c r="R32" s="17" t="n">
        <x:v>21</x:v>
      </x:c>
      <x:c r="S32" s="22" t="n">
        <x:v>197</x:v>
      </x:c>
      <x:c r="T32" s="24" t="n">
        <x:v>8.2</x:v>
      </x:c>
      <x:c r="U32" s="24" t="n">
        <x:f>IFERROR(O32/T32,0)</x:f>
        <x:v>22.195121951219512</x:v>
      </x:c>
      <x:c r="V32" s="17" t="str">
        <x:f>IF(O32&lt;=0,"out_of_stock",IF(U32&lt;7,"critical_low_stock",IF(U32&gt;60,"overstock","in_stock")))</x:f>
        <x:v>in_stock</x:v>
      </x:c>
      <x:c r="W32" s="17" t="str">
        <x:f>IF(O32&lt;=0,"OOS",IF(AND(U32&lt;7,AC32&gt;=0.5),"High Risk",IF(U32&lt;14,"Medium Risk",IF(U32&gt;60,"Overstock","Healthy"))))</x:f>
        <x:v>Healthy</x:v>
      </x:c>
      <x:c r="X32" s="22" t="n">
        <x:v>2003</x:v>
      </x:c>
      <x:c r="Y32" s="22" t="n">
        <x:v>250</x:v>
      </x:c>
      <x:c r="Z32" s="22" t="n">
        <x:v>45</x:v>
      </x:c>
      <x:c r="AA32" s="24" t="n">
        <x:f>IFERROR(Y32/X32*100,0)</x:f>
        <x:v>12.481278082875686</x:v>
      </x:c>
      <x:c r="AB32" s="26" t="n">
        <x:v>18.5</x:v>
      </x:c>
      <x:c r="AC32" s="24" t="n">
        <x:f>IFERROR(Z32/X32*100,0)</x:f>
        <x:v>2.246630054917624</x:v>
      </x:c>
      <x:c r="AD32" s="26" t="n">
        <x:v>124.1</x:v>
      </x:c>
      <x:c r="AE32" s="22" t="n">
        <x:f>IFERROR(Z32*M32,0)</x:f>
        <x:v>1666170</x:v>
      </x:c>
      <x:c r="AF32" s="26" t="n">
        <x:v>51.9</x:v>
      </x:c>
      <x:c r="AG32" s="24" t="n">
        <x:v>51</x:v>
      </x:c>
      <x:c r="AH32" s="26" t="n">
        <x:v>-9.6</x:v>
      </x:c>
      <x:c r="AI32" s="22" t="n">
        <x:v>181</x:v>
      </x:c>
      <x:c r="AJ32" s="22" t="n">
        <x:v>114</x:v>
      </x:c>
      <x:c r="AK32" s="22" t="n">
        <x:v>71</x:v>
      </x:c>
      <x:c r="AL32" s="22" t="n">
        <x:v>67</x:v>
      </x:c>
      <x:c r="AM32" s="22" t="n">
        <x:v>55</x:v>
      </x:c>
      <x:c r="AN32" s="24" t="n">
        <x:f>IFERROR(AI32/X32*100,0)</x:f>
        <x:v>9.036445332001996</x:v>
      </x:c>
      <x:c r="AO32" s="24" t="n">
        <x:f>IFERROR(AJ32/X32*100,0)</x:f>
        <x:v>5.691462805791312</x:v>
      </x:c>
      <x:c r="AP32" s="24" t="n">
        <x:f>IFERROR(AK32/X32*100,0)</x:f>
        <x:v>3.544682975536695</x:v>
      </x:c>
      <x:c r="AQ32" s="24" t="n">
        <x:f>IFERROR(AL32/X32*100,0)</x:f>
        <x:v>3.344982526210684</x:v>
      </x:c>
      <x:c r="AR32" s="24" t="n">
        <x:f>IFERROR(AM32/X32*100,0)</x:f>
        <x:v>2.7458811782326507</x:v>
      </x:c>
      <x:c r="AS32" s="24" t="n">
        <x:f>IFERROR(Z32/X32*100,0)</x:f>
        <x:v>2.246630054917624</x:v>
      </x:c>
      <x:c r="AT32" s="26" t="n">
        <x:v>-20.1</x:v>
      </x:c>
      <x:c r="AU32" s="26" t="n">
        <x:v>-1</x:v>
      </x:c>
      <x:c r="AV32" s="26" t="n">
        <x:v>0.4</x:v>
      </x:c>
      <x:c r="AW32" s="26" t="n">
        <x:v>-14.9</x:v>
      </x:c>
      <x:c r="AX32" s="26" t="n">
        <x:v>-8.2</x:v>
      </x:c>
      <x:c r="AY32" s="26" t="n">
        <x:v>-2.8</x:v>
      </x:c>
      <x:c r="AZ32" s="26" t="n">
        <x:v>-20.4</x:v>
      </x:c>
      <x:c r="BA32" s="26" t="n">
        <x:v>64.7</x:v>
      </x:c>
      <x:c r="BB32" s="22" t="n">
        <x:f>IFERROR(AE32/Z32,0)</x:f>
        <x:v>37026</x:v>
      </x:c>
      <x:c r="BC32" s="17" t="n">
        <x:f>IF(OR(V32="out_of_stock",V32="critical_low_stock"),MAX(0,(14-U32)*T32),0)</x:f>
        <x:v>0</x:v>
      </x:c>
      <x:c r="BD32" s="22" t="n">
        <x:f>IFERROR(BC32*M32,0)</x:f>
        <x:v>0</x:v>
      </x:c>
      <x:c r="BE32" s="17" t="str">
        <x:v>stock_sales_behavior</x:v>
      </x:c>
      <x:c r="BF32" s="17" t="str">
        <x:v>copied_from_uploaded_product2 + synthetic_stock</x:v>
      </x:c>
    </x:row>
    <x:row r="33">
      <x:c r="A33" s="17" t="n">
        <x:v>32</x:v>
      </x:c>
      <x:c r="B33" s="17" t="str">
        <x:v>PRODUCT_STOCK_BEHAVIOR</x:v>
      </x:c>
      <x:c r="C33" s="20" t="n">
        <x:v>46147</x:v>
      </x:c>
      <x:c r="D33" s="17" t="str">
        <x:v>App</x:v>
      </x:c>
      <x:c r="E33" s="17" t="str">
        <x:v>Mobile</x:v>
      </x:c>
      <x:c r="F33" s="17" t="str">
        <x:v>CRM</x:v>
      </x:c>
      <x:c r="G33" s="17" t="n">
        <x:v>99</x:v>
      </x:c>
      <x:c r="H33" s="17" t="str">
        <x:v>PHILIPS</x:v>
      </x:c>
      <x:c r="I33" s="17" t="str">
        <x:v>Other</x:v>
      </x:c>
      <x:c r="J33" s="17" t="str">
        <x:v>Other</x:v>
      </x:c>
      <x:c r="K33" s="17" t="str">
        <x:v>PHILIPS Lumea 8000 Serisi BRI940/00 IPL Tüy Alma, Vücut için 1 Başlık, Çanta</x:v>
      </x:c>
      <x:c r="L33" s="17" t="str">
        <x:v>1232599</x:v>
      </x:c>
      <x:c r="M33" s="22" t="n">
        <x:v>17976</x:v>
      </x:c>
      <x:c r="N33" s="26" t="n">
        <x:v>-10.5</x:v>
      </x:c>
      <x:c r="O33" s="22" t="n">
        <x:v>158</x:v>
      </x:c>
      <x:c r="P33" s="22" t="n">
        <x:v>173</x:v>
      </x:c>
      <x:c r="Q33" s="22" t="n">
        <x:v>0</x:v>
      </x:c>
      <x:c r="R33" s="17" t="n">
        <x:v>7</x:v>
      </x:c>
      <x:c r="S33" s="22" t="n">
        <x:v>19</x:v>
      </x:c>
      <x:c r="T33" s="24" t="n">
        <x:v>1.9</x:v>
      </x:c>
      <x:c r="U33" s="24" t="n">
        <x:f>IFERROR(O33/T33,0)</x:f>
        <x:v>83.15789473684211</x:v>
      </x:c>
      <x:c r="V33" s="17" t="str">
        <x:f>IF(O33&lt;=0,"out_of_stock",IF(U33&lt;7,"critical_low_stock",IF(U33&gt;60,"overstock","in_stock")))</x:f>
        <x:v>overstock</x:v>
      </x:c>
      <x:c r="W33" s="17" t="str">
        <x:f>IF(O33&lt;=0,"OOS",IF(AND(U33&lt;7,AC33&gt;=0.5),"High Risk",IF(U33&lt;14,"Medium Risk",IF(U33&gt;60,"Overstock","Healthy"))))</x:f>
        <x:v>Overstock</x:v>
      </x:c>
      <x:c r="X33" s="22" t="n">
        <x:v>1996</x:v>
      </x:c>
      <x:c r="Y33" s="22" t="n">
        <x:v>19</x:v>
      </x:c>
      <x:c r="Z33" s="22" t="n">
        <x:v>0</x:v>
      </x:c>
      <x:c r="AA33" s="24" t="n">
        <x:f>IFERROR(Y33/X33*100,0)</x:f>
        <x:v>0.9519038076152305</x:v>
      </x:c>
      <x:c r="AB33" s="26" t="n">
        <x:v>49.3</x:v>
      </x:c>
      <x:c r="AC33" s="24" t="n">
        <x:f>IFERROR(Z33/X33*100,0)</x:f>
        <x:v>0</x:v>
      </x:c>
      <x:c r="AD33" s="26" t="n">
        <x:v>166</x:v>
      </x:c>
      <x:c r="AE33" s="22" t="n">
        <x:f>IFERROR(Z33*M33,0)</x:f>
        <x:v>0</x:v>
      </x:c>
      <x:c r="AF33" s="26" t="n">
        <x:v>152.7</x:v>
      </x:c>
      <x:c r="AG33" s="24" t="n">
        <x:v>87</x:v>
      </x:c>
      <x:c r="AH33" s="26" t="n">
        <x:v>-1.9</x:v>
      </x:c>
      <x:c r="AI33" s="22" t="n">
        <x:v>17</x:v>
      </x:c>
      <x:c r="AJ33" s="22" t="n">
        <x:v>9</x:v>
      </x:c>
      <x:c r="AK33" s="22" t="n">
        <x:v>7</x:v>
      </x:c>
      <x:c r="AL33" s="22" t="n">
        <x:v>5</x:v>
      </x:c>
      <x:c r="AM33" s="22" t="n">
        <x:v>3</x:v>
      </x:c>
      <x:c r="AN33" s="24" t="n">
        <x:f>IFERROR(AI33/X33*100,0)</x:f>
        <x:v>0.8517034068136272</x:v>
      </x:c>
      <x:c r="AO33" s="24" t="n">
        <x:f>IFERROR(AJ33/X33*100,0)</x:f>
        <x:v>0.45090180360721444</x:v>
      </x:c>
      <x:c r="AP33" s="24" t="n">
        <x:f>IFERROR(AK33/X33*100,0)</x:f>
        <x:v>0.35070140280561124</x:v>
      </x:c>
      <x:c r="AQ33" s="24" t="n">
        <x:f>IFERROR(AL33/X33*100,0)</x:f>
        <x:v>0.250501002004008</x:v>
      </x:c>
      <x:c r="AR33" s="24" t="n">
        <x:f>IFERROR(AM33/X33*100,0)</x:f>
        <x:v>0.15030060120240482</x:v>
      </x:c>
      <x:c r="AS33" s="24" t="n">
        <x:f>IFERROR(Z33/X33*100,0)</x:f>
        <x:v>0</x:v>
      </x:c>
      <x:c r="AT33" s="26" t="n">
        <x:v>12.3</x:v>
      </x:c>
      <x:c r="AU33" s="26" t="n">
        <x:v>72.7</x:v>
      </x:c>
      <x:c r="AV33" s="26" t="n">
        <x:v>75.6</x:v>
      </x:c>
      <x:c r="AW33" s="26" t="n">
        <x:v>-30.8</x:v>
      </x:c>
      <x:c r="AX33" s="26" t="n">
        <x:v>7.8</x:v>
      </x:c>
      <x:c r="AY33" s="26" t="n">
        <x:v>-20.8</x:v>
      </x:c>
      <x:c r="AZ33" s="26" t="n">
        <x:v>-25</x:v>
      </x:c>
      <x:c r="BA33" s="26" t="n">
        <x:v>166</x:v>
      </x:c>
      <x:c r="BB33" s="22" t="n">
        <x:f>IFERROR(AE33/Z33,0)</x:f>
        <x:v>0</x:v>
      </x:c>
      <x:c r="BC33" s="17" t="n">
        <x:f>IF(OR(V33="out_of_stock",V33="critical_low_stock"),MAX(0,(14-U33)*T33),0)</x:f>
        <x:v>0</x:v>
      </x:c>
      <x:c r="BD33" s="22" t="n">
        <x:f>IFERROR(BC33*M33,0)</x:f>
        <x:v>0</x:v>
      </x:c>
      <x:c r="BE33" s="17" t="str">
        <x:v>stock_sales_behavior</x:v>
      </x:c>
      <x:c r="BF33" s="17" t="str">
        <x:v>copied_from_uploaded_product2 + synthetic_stock</x:v>
      </x:c>
    </x:row>
    <x:row r="34">
      <x:c r="A34" s="17" t="n">
        <x:v>33</x:v>
      </x:c>
      <x:c r="B34" s="17" t="str">
        <x:v>PRODUCT_STOCK_BEHAVIOR</x:v>
      </x:c>
      <x:c r="C34" s="20" t="n">
        <x:v>46148</x:v>
      </x:c>
      <x:c r="D34" s="17" t="str">
        <x:v>Web</x:v>
      </x:c>
      <x:c r="E34" s="17" t="str">
        <x:v>App</x:v>
      </x:c>
      <x:c r="F34" s="17" t="str">
        <x:v>Affiliate</x:v>
      </x:c>
      <x:c r="G34" s="17" t="n">
        <x:v>24</x:v>
      </x:c>
      <x:c r="H34" s="17" t="str">
        <x:v>APPLE</x:v>
      </x:c>
      <x:c r="I34" s="17" t="str">
        <x:v>Bilgisayar</x:v>
      </x:c>
      <x:c r="J34" s="17" t="str">
        <x:v>Tabletler</x:v>
      </x:c>
      <x:c r="K34" s="17" t="str">
        <x:v>APPLE iPad (A16) Wi-Fi 128 GB Tablet Pembe MD4E4TU/A</x:v>
      </x:c>
      <x:c r="L34" s="17" t="str">
        <x:v>1245608</x:v>
      </x:c>
      <x:c r="M34" s="22" t="n">
        <x:v>36668</x:v>
      </x:c>
      <x:c r="N34" s="26" t="n">
        <x:v>-9.1</x:v>
      </x:c>
      <x:c r="O34" s="22" t="n">
        <x:v>17</x:v>
      </x:c>
      <x:c r="P34" s="22" t="n">
        <x:v>17</x:v>
      </x:c>
      <x:c r="Q34" s="22" t="n">
        <x:v>87</x:v>
      </x:c>
      <x:c r="R34" s="17" t="n">
        <x:v>7</x:v>
      </x:c>
      <x:c r="S34" s="22" t="n">
        <x:v>42</x:v>
      </x:c>
      <x:c r="T34" s="24" t="n">
        <x:v>4.2</x:v>
      </x:c>
      <x:c r="U34" s="24" t="n">
        <x:f>IFERROR(O34/T34,0)</x:f>
        <x:v>4.0476190476190474</x:v>
      </x:c>
      <x:c r="V34" s="17" t="str">
        <x:f>IF(O34&lt;=0,"out_of_stock",IF(U34&lt;7,"critical_low_stock",IF(U34&gt;60,"overstock","in_stock")))</x:f>
        <x:v>critical_low_stock</x:v>
      </x:c>
      <x:c r="W34" s="17" t="str">
        <x:f>IF(O34&lt;=0,"OOS",IF(AND(U34&lt;7,AC34&gt;=0.5),"High Risk",IF(U34&lt;14,"Medium Risk",IF(U34&gt;60,"Overstock","Healthy"))))</x:f>
        <x:v>High Risk</x:v>
      </x:c>
      <x:c r="X34" s="22" t="n">
        <x:v>1893</x:v>
      </x:c>
      <x:c r="Y34" s="22" t="n">
        <x:v>153</x:v>
      </x:c>
      <x:c r="Z34" s="22" t="n">
        <x:v>18</x:v>
      </x:c>
      <x:c r="AA34" s="24" t="n">
        <x:f>IFERROR(Y34/X34*100,0)</x:f>
        <x:v>8.082408874801903</x:v>
      </x:c>
      <x:c r="AB34" s="26" t="n">
        <x:v>-10.9</x:v>
      </x:c>
      <x:c r="AC34" s="24" t="n">
        <x:f>IFERROR(Z34/X34*100,0)</x:f>
        <x:v>0.9508716323296356</x:v>
      </x:c>
      <x:c r="AD34" s="26" t="n">
        <x:v>20.9</x:v>
      </x:c>
      <x:c r="AE34" s="22" t="n">
        <x:f>IFERROR(Z34*M34,0)</x:f>
        <x:v>660024</x:v>
      </x:c>
      <x:c r="AF34" s="26" t="n">
        <x:v>44.2</x:v>
      </x:c>
      <x:c r="AG34" s="24" t="n">
        <x:v>56</x:v>
      </x:c>
      <x:c r="AH34" s="26" t="n">
        <x:v>-5.8</x:v>
      </x:c>
      <x:c r="AI34" s="22" t="n">
        <x:v>104</x:v>
      </x:c>
      <x:c r="AJ34" s="22" t="n">
        <x:v>64</x:v>
      </x:c>
      <x:c r="AK34" s="22" t="n">
        <x:v>40</x:v>
      </x:c>
      <x:c r="AL34" s="22" t="n">
        <x:v>30</x:v>
      </x:c>
      <x:c r="AM34" s="22" t="n">
        <x:v>18</x:v>
      </x:c>
      <x:c r="AN34" s="24" t="n">
        <x:f>IFERROR(AI34/X34*100,0)</x:f>
        <x:v>5.493924986793449</x:v>
      </x:c>
      <x:c r="AO34" s="24" t="n">
        <x:f>IFERROR(AJ34/X34*100,0)</x:f>
        <x:v>3.3808769149498152</x:v>
      </x:c>
      <x:c r="AP34" s="24" t="n">
        <x:f>IFERROR(AK34/X34*100,0)</x:f>
        <x:v>2.1130480718436346</x:v>
      </x:c>
      <x:c r="AQ34" s="24" t="n">
        <x:f>IFERROR(AL34/X34*100,0)</x:f>
        <x:v>1.5847860538827259</x:v>
      </x:c>
      <x:c r="AR34" s="24" t="n">
        <x:f>IFERROR(AM34/X34*100,0)</x:f>
        <x:v>0.9508716323296356</x:v>
      </x:c>
      <x:c r="AS34" s="24" t="n">
        <x:f>IFERROR(Z34/X34*100,0)</x:f>
        <x:v>0.9508716323296356</x:v>
      </x:c>
      <x:c r="AT34" s="26" t="n">
        <x:v>41.6</x:v>
      </x:c>
      <x:c r="AU34" s="26" t="n">
        <x:v>33.3</x:v>
      </x:c>
      <x:c r="AV34" s="26" t="n">
        <x:v>42.3</x:v>
      </x:c>
      <x:c r="AW34" s="26" t="n">
        <x:v>-12.9</x:v>
      </x:c>
      <x:c r="AX34" s="26" t="n">
        <x:v>-13.3</x:v>
      </x:c>
      <x:c r="AY34" s="26" t="n">
        <x:v>8.2</x:v>
      </x:c>
      <x:c r="AZ34" s="26" t="n">
        <x:v>-22.6</x:v>
      </x:c>
      <x:c r="BA34" s="26" t="n">
        <x:v>62.5</x:v>
      </x:c>
      <x:c r="BB34" s="22" t="n">
        <x:f>IFERROR(AE34/Z34,0)</x:f>
        <x:v>36668</x:v>
      </x:c>
      <x:c r="BC34" s="17" t="n">
        <x:f>IF(OR(V34="out_of_stock",V34="critical_low_stock"),MAX(0,(14-U34)*T34),0)</x:f>
        <x:v>41.800000000000004</x:v>
      </x:c>
      <x:c r="BD34" s="22" t="n">
        <x:f>IFERROR(BC34*M34,0)</x:f>
        <x:v>1532722.4000000001</x:v>
      </x:c>
      <x:c r="BE34" s="17" t="str">
        <x:v>stock_sales_behavior</x:v>
      </x:c>
      <x:c r="BF34" s="17" t="str">
        <x:v>copied_from_uploaded_product2 + synthetic_stock</x:v>
      </x:c>
    </x:row>
    <x:row r="35">
      <x:c r="A35" s="17" t="n">
        <x:v>34</x:v>
      </x:c>
      <x:c r="B35" s="17" t="str">
        <x:v>PRODUCT_STOCK_BEHAVIOR</x:v>
      </x:c>
      <x:c r="C35" s="20" t="n">
        <x:v>46149</x:v>
      </x:c>
      <x:c r="D35" s="17" t="str">
        <x:v>Web</x:v>
      </x:c>
      <x:c r="E35" s="17" t="str">
        <x:v>App</x:v>
      </x:c>
      <x:c r="F35" s="17" t="str">
        <x:v>Social Paid</x:v>
      </x:c>
      <x:c r="G35" s="17" t="n">
        <x:v>28</x:v>
      </x:c>
      <x:c r="H35" s="17" t="str">
        <x:v>APPLE</x:v>
      </x:c>
      <x:c r="I35" s="17" t="str">
        <x:v>Telefon</x:v>
      </x:c>
      <x:c r="J35" s="17" t="str">
        <x:v>Cep Telefonları</x:v>
      </x:c>
      <x:c r="K35" s="17" t="str">
        <x:v>APPLE iPhone 17 Pro Max 512 GB Akıllı Telefon Kozmik Turuncu MFYT4TU/A</x:v>
      </x:c>
      <x:c r="L35" s="17" t="str">
        <x:v>1249256</x:v>
      </x:c>
      <x:c r="M35" s="22" t="n">
        <x:v>91659</x:v>
      </x:c>
      <x:c r="N35" s="26" t="n">
        <x:v>23.9</x:v>
      </x:c>
      <x:c r="O35" s="22" t="n">
        <x:v>70</x:v>
      </x:c>
      <x:c r="P35" s="22" t="n">
        <x:v>101</x:v>
      </x:c>
      <x:c r="Q35" s="22" t="n">
        <x:v>0</x:v>
      </x:c>
      <x:c r="R35" s="17" t="n">
        <x:v>7</x:v>
      </x:c>
      <x:c r="S35" s="22" t="n">
        <x:v>13</x:v>
      </x:c>
      <x:c r="T35" s="24" t="n">
        <x:v>1.3</x:v>
      </x:c>
      <x:c r="U35" s="24" t="n">
        <x:f>IFERROR(O35/T35,0)</x:f>
        <x:v>53.84615384615385</x:v>
      </x:c>
      <x:c r="V35" s="17" t="str">
        <x:f>IF(O35&lt;=0,"out_of_stock",IF(U35&lt;7,"critical_low_stock",IF(U35&gt;60,"overstock","in_stock")))</x:f>
        <x:v>in_stock</x:v>
      </x:c>
      <x:c r="W35" s="17" t="str">
        <x:f>IF(O35&lt;=0,"OOS",IF(AND(U35&lt;7,AC35&gt;=0.5),"High Risk",IF(U35&lt;14,"Medium Risk",IF(U35&gt;60,"Overstock","Healthy"))))</x:f>
        <x:v>Healthy</x:v>
      </x:c>
      <x:c r="X35" s="22" t="n">
        <x:v>1846</x:v>
      </x:c>
      <x:c r="Y35" s="22" t="n">
        <x:v>147</x:v>
      </x:c>
      <x:c r="Z35" s="22" t="n">
        <x:v>0</x:v>
      </x:c>
      <x:c r="AA35" s="24" t="n">
        <x:f>IFERROR(Y35/X35*100,0)</x:f>
        <x:v>7.963163596966413</x:v>
      </x:c>
      <x:c r="AB35" s="26" t="n">
        <x:v>4.7</x:v>
      </x:c>
      <x:c r="AC35" s="24" t="n">
        <x:f>IFERROR(Z35/X35*100,0)</x:f>
        <x:v>0</x:v>
      </x:c>
      <x:c r="AD35" s="26" t="n">
        <x:v>-100</x:v>
      </x:c>
      <x:c r="AE35" s="22" t="n">
        <x:f>IFERROR(Z35*M35,0)</x:f>
        <x:v>0</x:v>
      </x:c>
      <x:c r="AF35" s="26" t="n">
        <x:v>-89.7</x:v>
      </x:c>
      <x:c r="AG35" s="24" t="n">
        <x:v>56</x:v>
      </x:c>
      <x:c r="AH35" s="26" t="n">
        <x:v>2.9</x:v>
      </x:c>
      <x:c r="AI35" s="22" t="n">
        <x:v>98</x:v>
      </x:c>
      <x:c r="AJ35" s="22" t="n">
        <x:v>45</x:v>
      </x:c>
      <x:c r="AK35" s="22" t="n">
        <x:v>29</x:v>
      </x:c>
      <x:c r="AL35" s="22" t="n">
        <x:v>26</x:v>
      </x:c>
      <x:c r="AM35" s="22" t="n">
        <x:v>12</x:v>
      </x:c>
      <x:c r="AN35" s="24" t="n">
        <x:f>IFERROR(AI35/X35*100,0)</x:f>
        <x:v>5.308775731310942</x:v>
      </x:c>
      <x:c r="AO35" s="24" t="n">
        <x:f>IFERROR(AJ35/X35*100,0)</x:f>
        <x:v>2.4377031419284942</x:v>
      </x:c>
      <x:c r="AP35" s="24" t="n">
        <x:f>IFERROR(AK35/X35*100,0)</x:f>
        <x:v>1.570964247020585</x:v>
      </x:c>
      <x:c r="AQ35" s="24" t="n">
        <x:f>IFERROR(AL35/X35*100,0)</x:f>
        <x:v>1.4084507042253522</x:v>
      </x:c>
      <x:c r="AR35" s="24" t="n">
        <x:f>IFERROR(AM35/X35*100,0)</x:f>
        <x:v>0.6500541711809318</x:v>
      </x:c>
      <x:c r="AS35" s="24" t="n">
        <x:f>IFERROR(Z35/X35*100,0)</x:f>
        <x:v>0</x:v>
      </x:c>
      <x:c r="AT35" s="26" t="n">
        <x:v>-6.9</x:v>
      </x:c>
      <x:c r="AU35" s="26" t="n">
        <x:v>2.5</x:v>
      </x:c>
      <x:c r="AV35" s="26" t="n">
        <x:v>6.4</x:v>
      </x:c>
      <x:c r="AW35" s="26" t="n">
        <x:v>-63.6</x:v>
      </x:c>
      <x:c r="AX35" s="26" t="n">
        <x:v>10.4</x:v>
      </x:c>
      <x:c r="AY35" s="26" t="n">
        <x:v>-2.9</x:v>
      </x:c>
      <x:c r="AZ35" s="26" t="n">
        <x:v>4.3</x:v>
      </x:c>
      <x:c r="BA35" s="26" t="n">
        <x:v>-100</x:v>
      </x:c>
      <x:c r="BB35" s="22" t="n">
        <x:f>IFERROR(AE35/Z35,0)</x:f>
        <x:v>0</x:v>
      </x:c>
      <x:c r="BC35" s="17" t="n">
        <x:f>IF(OR(V35="out_of_stock",V35="critical_low_stock"),MAX(0,(14-U35)*T35),0)</x:f>
        <x:v>0</x:v>
      </x:c>
      <x:c r="BD35" s="22" t="n">
        <x:f>IFERROR(BC35*M35,0)</x:f>
        <x:v>0</x:v>
      </x:c>
      <x:c r="BE35" s="17" t="str">
        <x:v>stock_sales_behavior</x:v>
      </x:c>
      <x:c r="BF35" s="17" t="str">
        <x:v>copied_from_uploaded_product2 + synthetic_stock</x:v>
      </x:c>
    </x:row>
    <x:row r="36">
      <x:c r="A36" s="17" t="n">
        <x:v>35</x:v>
      </x:c>
      <x:c r="B36" s="17" t="str">
        <x:v>PRODUCT_STOCK_BEHAVIOR</x:v>
      </x:c>
      <x:c r="C36" s="20" t="n">
        <x:v>46150</x:v>
      </x:c>
      <x:c r="D36" s="17" t="str">
        <x:v>Web</x:v>
      </x:c>
      <x:c r="E36" s="17" t="str">
        <x:v>Mobile</x:v>
      </x:c>
      <x:c r="F36" s="17" t="str">
        <x:v>Search Organic Brand</x:v>
      </x:c>
      <x:c r="G36" s="17" t="n">
        <x:v>26</x:v>
      </x:c>
      <x:c r="H36" s="17" t="str">
        <x:v>LOGITECH</x:v>
      </x:c>
      <x:c r="I36" s="17" t="str">
        <x:v>Bilgisayar</x:v>
      </x:c>
      <x:c r="J36" s="17" t="str">
        <x:v>Oyuncu Aksesuarları</x:v>
      </x:c>
      <x:c r="K36" s="17" t="str">
        <x:v>LOGITECH G G29 PS5, PS4, PS3 ve PC ile Uyumlu Driving Force Yarış Direksiyonu - Siyah</x:v>
      </x:c>
      <x:c r="L36" s="17" t="str">
        <x:v>1146312</x:v>
      </x:c>
      <x:c r="M36" s="22" t="n">
        <x:v>6202</x:v>
      </x:c>
      <x:c r="N36" s="26" t="n">
        <x:v>-7.2</x:v>
      </x:c>
      <x:c r="O36" s="22" t="n">
        <x:v>35</x:v>
      </x:c>
      <x:c r="P36" s="22" t="n">
        <x:v>10</x:v>
      </x:c>
      <x:c r="Q36" s="22" t="n">
        <x:v>0</x:v>
      </x:c>
      <x:c r="R36" s="17" t="n">
        <x:v>7</x:v>
      </x:c>
      <x:c r="S36" s="22" t="n">
        <x:v>19</x:v>
      </x:c>
      <x:c r="T36" s="24" t="n">
        <x:v>1.9</x:v>
      </x:c>
      <x:c r="U36" s="24" t="n">
        <x:f>IFERROR(O36/T36,0)</x:f>
        <x:v>18.42105263157895</x:v>
      </x:c>
      <x:c r="V36" s="17" t="str">
        <x:f>IF(O36&lt;=0,"out_of_stock",IF(U36&lt;7,"critical_low_stock",IF(U36&gt;60,"overstock","in_stock")))</x:f>
        <x:v>in_stock</x:v>
      </x:c>
      <x:c r="W36" s="17" t="str">
        <x:f>IF(O36&lt;=0,"OOS",IF(AND(U36&lt;7,AC36&gt;=0.5),"High Risk",IF(U36&lt;14,"Medium Risk",IF(U36&gt;60,"Overstock","Healthy"))))</x:f>
        <x:v>Healthy</x:v>
      </x:c>
      <x:c r="X36" s="22" t="n">
        <x:v>1831</x:v>
      </x:c>
      <x:c r="Y36" s="22" t="n">
        <x:v>140</x:v>
      </x:c>
      <x:c r="Z36" s="22" t="n">
        <x:v>5</x:v>
      </x:c>
      <x:c r="AA36" s="24" t="n">
        <x:f>IFERROR(Y36/X36*100,0)</x:f>
        <x:v>7.64609503003823</x:v>
      </x:c>
      <x:c r="AB36" s="26" t="n">
        <x:v>15.6</x:v>
      </x:c>
      <x:c r="AC36" s="24" t="n">
        <x:f>IFERROR(Z36/X36*100,0)</x:f>
        <x:v>0.2730748225013654</x:v>
      </x:c>
      <x:c r="AD36" s="26" t="n">
        <x:v>-26</x:v>
      </x:c>
      <x:c r="AE36" s="22" t="n">
        <x:f>IFERROR(Z36*M36,0)</x:f>
        <x:v>31010</x:v>
      </x:c>
      <x:c r="AF36" s="26" t="n">
        <x:v>-23.3</x:v>
      </x:c>
      <x:c r="AG36" s="24" t="n">
        <x:v>66</x:v>
      </x:c>
      <x:c r="AH36" s="26" t="n">
        <x:v>2.1</x:v>
      </x:c>
      <x:c r="AI36" s="22" t="n">
        <x:v>130</x:v>
      </x:c>
      <x:c r="AJ36" s="22" t="n">
        <x:v>67</x:v>
      </x:c>
      <x:c r="AK36" s="22" t="n">
        <x:v>58</x:v>
      </x:c>
      <x:c r="AL36" s="22" t="n">
        <x:v>46</x:v>
      </x:c>
      <x:c r="AM36" s="22" t="n">
        <x:v>20</x:v>
      </x:c>
      <x:c r="AN36" s="24" t="n">
        <x:f>IFERROR(AI36/X36*100,0)</x:f>
        <x:v>7.0999453850355</x:v>
      </x:c>
      <x:c r="AO36" s="24" t="n">
        <x:f>IFERROR(AJ36/X36*100,0)</x:f>
        <x:v>3.659202621518296</x:v>
      </x:c>
      <x:c r="AP36" s="24" t="n">
        <x:f>IFERROR(AK36/X36*100,0)</x:f>
        <x:v>3.1676679410158384</x:v>
      </x:c>
      <x:c r="AQ36" s="24" t="n">
        <x:f>IFERROR(AL36/X36*100,0)</x:f>
        <x:v>2.5122883670125615</x:v>
      </x:c>
      <x:c r="AR36" s="24" t="n">
        <x:f>IFERROR(AM36/X36*100,0)</x:f>
        <x:v>1.0922992900054616</x:v>
      </x:c>
      <x:c r="AS36" s="24" t="n">
        <x:f>IFERROR(Z36/X36*100,0)</x:f>
        <x:v>0.2730748225013654</x:v>
      </x:c>
      <x:c r="AT36" s="26" t="n">
        <x:v>11.6</x:v>
      </x:c>
      <x:c r="AU36" s="26" t="n">
        <x:v>30.9</x:v>
      </x:c>
      <x:c r="AV36" s="26" t="n">
        <x:v>37.1</x:v>
      </x:c>
      <x:c r="AW36" s="26" t="n">
        <x:v>10.4</x:v>
      </x:c>
      <x:c r="AX36" s="26" t="n">
        <x:v>-17</x:v>
      </x:c>
      <x:c r="AY36" s="26" t="n">
        <x:v>-13.8</x:v>
      </x:c>
      <x:c r="AZ36" s="26" t="n">
        <x:v>-9.9</x:v>
      </x:c>
      <x:c r="BA36" s="26" t="n">
        <x:v>-20</x:v>
      </x:c>
      <x:c r="BB36" s="22" t="n">
        <x:f>IFERROR(AE36/Z36,0)</x:f>
        <x:v>6202</x:v>
      </x:c>
      <x:c r="BC36" s="17" t="n">
        <x:f>IF(OR(V36="out_of_stock",V36="critical_low_stock"),MAX(0,(14-U36)*T36),0)</x:f>
        <x:v>0</x:v>
      </x:c>
      <x:c r="BD36" s="22" t="n">
        <x:f>IFERROR(BC36*M36,0)</x:f>
        <x:v>0</x:v>
      </x:c>
      <x:c r="BE36" s="17" t="str">
        <x:v>stock_sales_behavior</x:v>
      </x:c>
      <x:c r="BF36" s="17" t="str">
        <x:v>copied_from_uploaded_product2 + synthetic_stock</x:v>
      </x:c>
    </x:row>
    <x:row r="37">
      <x:c r="A37" s="17" t="n">
        <x:v>36</x:v>
      </x:c>
      <x:c r="B37" s="17" t="str">
        <x:v>PRODUCT_STOCK_BEHAVIOR</x:v>
      </x:c>
      <x:c r="C37" s="20" t="n">
        <x:v>46151</x:v>
      </x:c>
      <x:c r="D37" s="17" t="str">
        <x:v>Web</x:v>
      </x:c>
      <x:c r="E37" s="17" t="str">
        <x:v>Mobile</x:v>
      </x:c>
      <x:c r="F37" s="17" t="str">
        <x:v>Search Organic Generic</x:v>
      </x:c>
      <x:c r="G37" s="17" t="n">
        <x:v>34</x:v>
      </x:c>
      <x:c r="H37" s="17" t="str">
        <x:v>DYSON</x:v>
      </x:c>
      <x:c r="I37" s="17" t="str">
        <x:v>Ev Aletleri &amp; Yaşam</x:v>
      </x:c>
      <x:c r="J37" s="17" t="str">
        <x:v>Süpürgeler</x:v>
      </x:c>
      <x:c r="K37" s="17" t="str">
        <x:v>DYSON V12 Detect Slim Absolute Kablosuz Şarjlı Dikey Süpürge Sarı Nikel</x:v>
      </x:c>
      <x:c r="L37" s="17" t="str">
        <x:v>1232519</x:v>
      </x:c>
      <x:c r="M37" s="22" t="n">
        <x:v>37274</x:v>
      </x:c>
      <x:c r="N37" s="26" t="n">
        <x:v>7.3</x:v>
      </x:c>
      <x:c r="O37" s="22" t="n">
        <x:v>36</x:v>
      </x:c>
      <x:c r="P37" s="22" t="n">
        <x:v>28</x:v>
      </x:c>
      <x:c r="Q37" s="22" t="n">
        <x:v>0</x:v>
      </x:c>
      <x:c r="R37" s="17" t="n">
        <x:v>5</x:v>
      </x:c>
      <x:c r="S37" s="22" t="n">
        <x:v>53</x:v>
      </x:c>
      <x:c r="T37" s="24" t="n">
        <x:v>6.6</x:v>
      </x:c>
      <x:c r="U37" s="24" t="n">
        <x:f>IFERROR(O37/T37,0)</x:f>
        <x:v>5.454545454545455</x:v>
      </x:c>
      <x:c r="V37" s="17" t="str">
        <x:f>IF(O37&lt;=0,"out_of_stock",IF(U37&lt;7,"critical_low_stock",IF(U37&gt;60,"overstock","in_stock")))</x:f>
        <x:v>critical_low_stock</x:v>
      </x:c>
      <x:c r="W37" s="17" t="str">
        <x:f>IF(O37&lt;=0,"OOS",IF(AND(U37&lt;7,AC37&gt;=0.5),"High Risk",IF(U37&lt;14,"Medium Risk",IF(U37&gt;60,"Overstock","Healthy"))))</x:f>
        <x:v>High Risk</x:v>
      </x:c>
      <x:c r="X37" s="22" t="n">
        <x:v>1763</x:v>
      </x:c>
      <x:c r="Y37" s="22" t="n">
        <x:v>167</x:v>
      </x:c>
      <x:c r="Z37" s="22" t="n">
        <x:v>33</x:v>
      </x:c>
      <x:c r="AA37" s="24" t="n">
        <x:f>IFERROR(Y37/X37*100,0)</x:f>
        <x:v>9.472490073737946</x:v>
      </x:c>
      <x:c r="AB37" s="26" t="n">
        <x:v>-3.7</x:v>
      </x:c>
      <x:c r="AC37" s="24" t="n">
        <x:f>IFERROR(Z37/X37*100,0)</x:f>
        <x:v>1.871809415768576</x:v>
      </x:c>
      <x:c r="AD37" s="26" t="n">
        <x:v>106.5</x:v>
      </x:c>
      <x:c r="AE37" s="22" t="n">
        <x:f>IFERROR(Z37*M37,0)</x:f>
        <x:v>1230042</x:v>
      </x:c>
      <x:c r="AF37" s="26" t="n">
        <x:v>181.1</x:v>
      </x:c>
      <x:c r="AG37" s="24" t="n">
        <x:v>68</x:v>
      </x:c>
      <x:c r="AH37" s="26" t="n">
        <x:v>-0.9</x:v>
      </x:c>
      <x:c r="AI37" s="22" t="n">
        <x:v>112</x:v>
      </x:c>
      <x:c r="AJ37" s="22" t="n">
        <x:v>63</x:v>
      </x:c>
      <x:c r="AK37" s="22" t="n">
        <x:v>44</x:v>
      </x:c>
      <x:c r="AL37" s="22" t="n">
        <x:v>37</x:v>
      </x:c>
      <x:c r="AM37" s="22" t="n">
        <x:v>33</x:v>
      </x:c>
      <x:c r="AN37" s="24" t="n">
        <x:f>IFERROR(AI37/X37*100,0)</x:f>
        <x:v>6.352807714123652</x:v>
      </x:c>
      <x:c r="AO37" s="24" t="n">
        <x:f>IFERROR(AJ37/X37*100,0)</x:f>
        <x:v>3.5734543391945546</x:v>
      </x:c>
      <x:c r="AP37" s="24" t="n">
        <x:f>IFERROR(AK37/X37*100,0)</x:f>
        <x:v>2.4957458876914353</x:v>
      </x:c>
      <x:c r="AQ37" s="24" t="n">
        <x:f>IFERROR(AL37/X37*100,0)</x:f>
        <x:v>2.098695405558707</x:v>
      </x:c>
      <x:c r="AR37" s="24" t="n">
        <x:f>IFERROR(AM37/X37*100,0)</x:f>
        <x:v>1.871809415768576</x:v>
      </x:c>
      <x:c r="AS37" s="24" t="n">
        <x:f>IFERROR(Z37/X37*100,0)</x:f>
        <x:v>1.871809415768576</x:v>
      </x:c>
      <x:c r="AT37" s="26" t="n">
        <x:v>26.2</x:v>
      </x:c>
      <x:c r="AU37" s="26" t="n">
        <x:v>23.1</x:v>
      </x:c>
      <x:c r="AV37" s="26" t="n">
        <x:v>18.4</x:v>
      </x:c>
      <x:c r="AW37" s="26" t="n">
        <x:v>-67.7</x:v>
      </x:c>
      <x:c r="AX37" s="26" t="n">
        <x:v>-11.6</x:v>
      </x:c>
      <x:c r="AY37" s="26" t="n">
        <x:v>-0.2</x:v>
      </x:c>
      <x:c r="AZ37" s="26" t="n">
        <x:v>-28</x:v>
      </x:c>
      <x:c r="BA37" s="26" t="n">
        <x:v>160</x:v>
      </x:c>
      <x:c r="BB37" s="22" t="n">
        <x:f>IFERROR(AE37/Z37,0)</x:f>
        <x:v>37274</x:v>
      </x:c>
      <x:c r="BC37" s="17" t="n">
        <x:f>IF(OR(V37="out_of_stock",V37="critical_low_stock"),MAX(0,(14-U37)*T37),0)</x:f>
        <x:v>56.39999999999999</x:v>
      </x:c>
      <x:c r="BD37" s="22" t="n">
        <x:f>IFERROR(BC37*M37,0)</x:f>
        <x:v>2102253.5999999996</x:v>
      </x:c>
      <x:c r="BE37" s="17" t="str">
        <x:v>stock_sales_behavior</x:v>
      </x:c>
      <x:c r="BF37" s="17" t="str">
        <x:v>copied_from_uploaded_product2 + synthetic_stock</x:v>
      </x:c>
    </x:row>
    <x:row r="38">
      <x:c r="A38" s="17" t="n">
        <x:v>37</x:v>
      </x:c>
      <x:c r="B38" s="17" t="str">
        <x:v>PRODUCT_STOCK_BEHAVIOR</x:v>
      </x:c>
      <x:c r="C38" s="20" t="n">
        <x:v>46152</x:v>
      </x:c>
      <x:c r="D38" s="17" t="str">
        <x:v>App</x:v>
      </x:c>
      <x:c r="E38" s="17" t="str">
        <x:v>App</x:v>
      </x:c>
      <x:c r="F38" s="17" t="str">
        <x:v>Search Organic Generic</x:v>
      </x:c>
      <x:c r="G38" s="17" t="n">
        <x:v>28</x:v>
      </x:c>
      <x:c r="H38" s="17" t="str">
        <x:v>SAMSUNG</x:v>
      </x:c>
      <x:c r="I38" s="17" t="str">
        <x:v>Telefon</x:v>
      </x:c>
      <x:c r="J38" s="17" t="str">
        <x:v>Cep Telefonları</x:v>
      </x:c>
      <x:c r="K38" s="17" t="str">
        <x:v>SAMSUNG Galaxy S25 5G 12/256GB Akıllı Telefon Lacivert</x:v>
      </x:c>
      <x:c r="L38" s="17" t="str">
        <x:v>1243757</x:v>
      </x:c>
      <x:c r="M38" s="22" t="n">
        <x:v>53772</x:v>
      </x:c>
      <x:c r="N38" s="26" t="n">
        <x:v>0.3</x:v>
      </x:c>
      <x:c r="O38" s="22" t="n">
        <x:v>17</x:v>
      </x:c>
      <x:c r="P38" s="22" t="n">
        <x:v>11</x:v>
      </x:c>
      <x:c r="Q38" s="22" t="n">
        <x:v>0</x:v>
      </x:c>
      <x:c r="R38" s="17" t="n">
        <x:v>7</x:v>
      </x:c>
      <x:c r="S38" s="22" t="n">
        <x:v>15</x:v>
      </x:c>
      <x:c r="T38" s="24" t="n">
        <x:v>1.5</x:v>
      </x:c>
      <x:c r="U38" s="24" t="n">
        <x:f>IFERROR(O38/T38,0)</x:f>
        <x:v>11.333333333333334</x:v>
      </x:c>
      <x:c r="V38" s="17" t="str">
        <x:f>IF(O38&lt;=0,"out_of_stock",IF(U38&lt;7,"critical_low_stock",IF(U38&gt;60,"overstock","in_stock")))</x:f>
        <x:v>in_stock</x:v>
      </x:c>
      <x:c r="W38" s="17" t="str">
        <x:f>IF(O38&lt;=0,"OOS",IF(AND(U38&lt;7,AC38&gt;=0.5),"High Risk",IF(U38&lt;14,"Medium Risk",IF(U38&gt;60,"Overstock","Healthy"))))</x:f>
        <x:v>Medium Risk</x:v>
      </x:c>
      <x:c r="X38" s="22" t="n">
        <x:v>1737</x:v>
      </x:c>
      <x:c r="Y38" s="22" t="n">
        <x:v>45</x:v>
      </x:c>
      <x:c r="Z38" s="22" t="n">
        <x:v>0</x:v>
      </x:c>
      <x:c r="AA38" s="24" t="n">
        <x:f>IFERROR(Y38/X38*100,0)</x:f>
        <x:v>2.5906735751295336</x:v>
      </x:c>
      <x:c r="AB38" s="26" t="n">
        <x:v>-24.6</x:v>
      </x:c>
      <x:c r="AC38" s="24" t="n">
        <x:f>IFERROR(Z38/X38*100,0)</x:f>
        <x:v>0</x:v>
      </x:c>
      <x:c r="AD38" s="26" t="n">
        <x:v>166</x:v>
      </x:c>
      <x:c r="AE38" s="22" t="n">
        <x:f>IFERROR(Z38*M38,0)</x:f>
        <x:v>0</x:v>
      </x:c>
      <x:c r="AF38" s="26" t="n">
        <x:v>175</x:v>
      </x:c>
      <x:c r="AG38" s="24" t="n">
        <x:v>50</x:v>
      </x:c>
      <x:c r="AH38" s="26" t="n">
        <x:v>-1.2</x:v>
      </x:c>
      <x:c r="AI38" s="22" t="n">
        <x:v>30</x:v>
      </x:c>
      <x:c r="AJ38" s="22" t="n">
        <x:v>21</x:v>
      </x:c>
      <x:c r="AK38" s="22" t="n">
        <x:v>11</x:v>
      </x:c>
      <x:c r="AL38" s="22" t="n">
        <x:v>8</x:v>
      </x:c>
      <x:c r="AM38" s="22" t="n">
        <x:v>4</x:v>
      </x:c>
      <x:c r="AN38" s="24" t="n">
        <x:f>IFERROR(AI38/X38*100,0)</x:f>
        <x:v>1.7271157167530224</x:v>
      </x:c>
      <x:c r="AO38" s="24" t="n">
        <x:f>IFERROR(AJ38/X38*100,0)</x:f>
        <x:v>1.2089810017271159</x:v>
      </x:c>
      <x:c r="AP38" s="24" t="n">
        <x:f>IFERROR(AK38/X38*100,0)</x:f>
        <x:v>0.6332757628094415</x:v>
      </x:c>
      <x:c r="AQ38" s="24" t="n">
        <x:f>IFERROR(AL38/X38*100,0)</x:f>
        <x:v>0.4605641911341394</x:v>
      </x:c>
      <x:c r="AR38" s="24" t="n">
        <x:f>IFERROR(AM38/X38*100,0)</x:f>
        <x:v>0.2302820955670697</x:v>
      </x:c>
      <x:c r="AS38" s="24" t="n">
        <x:f>IFERROR(Z38/X38*100,0)</x:f>
        <x:v>0</x:v>
      </x:c>
      <x:c r="AT38" s="26" t="n">
        <x:v>4.1</x:v>
      </x:c>
      <x:c r="AU38" s="26" t="n">
        <x:v>-22.4</x:v>
      </x:c>
      <x:c r="AV38" s="26" t="n">
        <x:v>-23.9</x:v>
      </x:c>
      <x:c r="AW38" s="26" t="n">
        <x:v>-26</x:v>
      </x:c>
      <x:c r="AX38" s="26" t="n">
        <x:v>2.7</x:v>
      </x:c>
      <x:c r="AY38" s="26" t="n">
        <x:v>15.9</x:v>
      </x:c>
      <x:c r="AZ38" s="26" t="n">
        <x:v>2.2</x:v>
      </x:c>
      <x:c r="BA38" s="26" t="n">
        <x:v>166</x:v>
      </x:c>
      <x:c r="BB38" s="22" t="n">
        <x:f>IFERROR(AE38/Z38,0)</x:f>
        <x:v>0</x:v>
      </x:c>
      <x:c r="BC38" s="17" t="n">
        <x:f>IF(OR(V38="out_of_stock",V38="critical_low_stock"),MAX(0,(14-U38)*T38),0)</x:f>
        <x:v>0</x:v>
      </x:c>
      <x:c r="BD38" s="22" t="n">
        <x:f>IFERROR(BC38*M38,0)</x:f>
        <x:v>0</x:v>
      </x:c>
      <x:c r="BE38" s="17" t="str">
        <x:v>stock_sales_behavior</x:v>
      </x:c>
      <x:c r="BF38" s="17" t="str">
        <x:v>copied_from_uploaded_product2 + synthetic_stock</x:v>
      </x:c>
    </x:row>
    <x:row r="39">
      <x:c r="A39" s="17" t="n">
        <x:v>38</x:v>
      </x:c>
      <x:c r="B39" s="17" t="str">
        <x:v>PRODUCT_STOCK_BEHAVIOR</x:v>
      </x:c>
      <x:c r="C39" s="20" t="n">
        <x:v>46153</x:v>
      </x:c>
      <x:c r="D39" s="17" t="str">
        <x:v>Mobile Web</x:v>
      </x:c>
      <x:c r="E39" s="17" t="str">
        <x:v>Desktop</x:v>
      </x:c>
      <x:c r="F39" s="17" t="str">
        <x:v>Search Paid Generic</x:v>
      </x:c>
      <x:c r="G39" s="17" t="n">
        <x:v>26</x:v>
      </x:c>
      <x:c r="H39" s="17" t="str">
        <x:v>LOGITECH</x:v>
      </x:c>
      <x:c r="I39" s="17" t="str">
        <x:v>Bilgisayar</x:v>
      </x:c>
      <x:c r="J39" s="17" t="str">
        <x:v>Oyuncu Aksesuarları</x:v>
      </x:c>
      <x:c r="K39" s="17" t="str">
        <x:v>LOGITECH G Pro X2 Superstrike Kablosuz Oyuncu Mouse Beyaz 910-007777</x:v>
      </x:c>
      <x:c r="L39" s="17" t="str">
        <x:v>1252130</x:v>
      </x:c>
      <x:c r="M39" s="22" t="n">
        <x:v>2084</x:v>
      </x:c>
      <x:c r="N39" s="26" t="n">
        <x:v>-17.3</x:v>
      </x:c>
      <x:c r="O39" s="22" t="n">
        <x:v>170</x:v>
      </x:c>
      <x:c r="P39" s="22" t="n">
        <x:v>179</x:v>
      </x:c>
      <x:c r="Q39" s="22" t="n">
        <x:v>0</x:v>
      </x:c>
      <x:c r="R39" s="17" t="n">
        <x:v>14</x:v>
      </x:c>
      <x:c r="S39" s="22" t="n">
        <x:v>67</x:v>
      </x:c>
      <x:c r="T39" s="24" t="n">
        <x:v>3.9</x:v>
      </x:c>
      <x:c r="U39" s="24" t="n">
        <x:f>IFERROR(O39/T39,0)</x:f>
        <x:v>43.58974358974359</x:v>
      </x:c>
      <x:c r="V39" s="17" t="str">
        <x:f>IF(O39&lt;=0,"out_of_stock",IF(U39&lt;7,"critical_low_stock",IF(U39&gt;60,"overstock","in_stock")))</x:f>
        <x:v>in_stock</x:v>
      </x:c>
      <x:c r="W39" s="17" t="str">
        <x:f>IF(O39&lt;=0,"OOS",IF(AND(U39&lt;7,AC39&gt;=0.5),"High Risk",IF(U39&lt;14,"Medium Risk",IF(U39&gt;60,"Overstock","Healthy"))))</x:f>
        <x:v>Healthy</x:v>
      </x:c>
      <x:c r="X39" s="22" t="n">
        <x:v>1724</x:v>
      </x:c>
      <x:c r="Y39" s="22" t="n">
        <x:v>87</x:v>
      </x:c>
      <x:c r="Z39" s="22" t="n">
        <x:v>14</x:v>
      </x:c>
      <x:c r="AA39" s="24" t="n">
        <x:f>IFERROR(Y39/X39*100,0)</x:f>
        <x:v>5.046403712296984</x:v>
      </x:c>
      <x:c r="AB39" s="26" t="n">
        <x:v>2.6</x:v>
      </x:c>
      <x:c r="AC39" s="24" t="n">
        <x:f>IFERROR(Z39/X39*100,0)</x:f>
        <x:v>0.8120649651972157</x:v>
      </x:c>
      <x:c r="AD39" s="26" t="n">
        <x:v>2.6</x:v>
      </x:c>
      <x:c r="AE39" s="22" t="n">
        <x:f>IFERROR(Z39*M39,0)</x:f>
        <x:v>29176</x:v>
      </x:c>
      <x:c r="AF39" s="26" t="n">
        <x:v>-8.2</x:v>
      </x:c>
      <x:c r="AG39" s="24" t="n">
        <x:v>73</x:v>
      </x:c>
      <x:c r="AH39" s="26" t="n">
        <x:v>-1.1</x:v>
      </x:c>
      <x:c r="AI39" s="22" t="n">
        <x:v>58</x:v>
      </x:c>
      <x:c r="AJ39" s="22" t="n">
        <x:v>21</x:v>
      </x:c>
      <x:c r="AK39" s="22" t="n">
        <x:v>17</x:v>
      </x:c>
      <x:c r="AL39" s="22" t="n">
        <x:v>15</x:v>
      </x:c>
      <x:c r="AM39" s="22" t="n">
        <x:v>14</x:v>
      </x:c>
      <x:c r="AN39" s="24" t="n">
        <x:f>IFERROR(AI39/X39*100,0)</x:f>
        <x:v>3.3642691415313224</x:v>
      </x:c>
      <x:c r="AO39" s="24" t="n">
        <x:f>IFERROR(AJ39/X39*100,0)</x:f>
        <x:v>1.2180974477958235</x:v>
      </x:c>
      <x:c r="AP39" s="24" t="n">
        <x:f>IFERROR(AK39/X39*100,0)</x:f>
        <x:v>0.9860788863109048</x:v>
      </x:c>
      <x:c r="AQ39" s="24" t="n">
        <x:f>IFERROR(AL39/X39*100,0)</x:f>
        <x:v>0.8700696055684455</x:v>
      </x:c>
      <x:c r="AR39" s="24" t="n">
        <x:f>IFERROR(AM39/X39*100,0)</x:f>
        <x:v>0.8120649651972157</x:v>
      </x:c>
      <x:c r="AS39" s="24" t="n">
        <x:f>IFERROR(Z39/X39*100,0)</x:f>
        <x:v>0.8120649651972157</x:v>
      </x:c>
      <x:c r="AT39" s="26" t="n">
        <x:v>5</x:v>
      </x:c>
      <x:c r="AU39" s="26" t="n">
        <x:v>12.8</x:v>
      </x:c>
      <x:c r="AV39" s="26" t="n">
        <x:v>14.8</x:v>
      </x:c>
      <x:c r="AW39" s="26" t="n">
        <x:v>5</x:v>
      </x:c>
      <x:c r="AX39" s="26" t="n">
        <x:v>5.7</x:v>
      </x:c>
      <x:c r="AY39" s="26" t="n">
        <x:v>2.2</x:v>
      </x:c>
      <x:c r="AZ39" s="26" t="n">
        <x:v>-33.8</x:v>
      </x:c>
      <x:c r="BA39" s="26" t="n">
        <x:v>9.1</x:v>
      </x:c>
      <x:c r="BB39" s="22" t="n">
        <x:f>IFERROR(AE39/Z39,0)</x:f>
        <x:v>2084</x:v>
      </x:c>
      <x:c r="BC39" s="17" t="n">
        <x:f>IF(OR(V39="out_of_stock",V39="critical_low_stock"),MAX(0,(14-U39)*T39),0)</x:f>
        <x:v>0</x:v>
      </x:c>
      <x:c r="BD39" s="22" t="n">
        <x:f>IFERROR(BC39*M39,0)</x:f>
        <x:v>0</x:v>
      </x:c>
      <x:c r="BE39" s="17" t="str">
        <x:v>stock_sales_behavior</x:v>
      </x:c>
      <x:c r="BF39" s="17" t="str">
        <x:v>copied_from_uploaded_product2 + synthetic_stock</x:v>
      </x:c>
    </x:row>
    <x:row r="40">
      <x:c r="A40" s="17" t="n">
        <x:v>39</x:v>
      </x:c>
      <x:c r="B40" s="17" t="str">
        <x:v>PRODUCT_STOCK_BEHAVIOR</x:v>
      </x:c>
      <x:c r="C40" s="20" t="n">
        <x:v>46154</x:v>
      </x:c>
      <x:c r="D40" s="17" t="str">
        <x:v>Mobile Web</x:v>
      </x:c>
      <x:c r="E40" s="17" t="str">
        <x:v>Mobile</x:v>
      </x:c>
      <x:c r="F40" s="17" t="str">
        <x:v>Price Comparison</x:v>
      </x:c>
      <x:c r="G40" s="17" t="n">
        <x:v>21</x:v>
      </x:c>
      <x:c r="H40" s="17" t="str">
        <x:v>DJI</x:v>
      </x:c>
      <x:c r="I40" s="17" t="str">
        <x:v>Foto &amp; Kamera &amp; Drone</x:v>
      </x:c>
      <x:c r="J40" s="17" t="str">
        <x:v>Drone</x:v>
      </x:c>
      <x:c r="K40" s="17" t="str">
        <x:v>DJI Mini 4K Fly More Combo Drone</x:v>
      </x:c>
      <x:c r="L40" s="17" t="str">
        <x:v>1242925</x:v>
      </x:c>
      <x:c r="M40" s="22" t="n">
        <x:v>9501</x:v>
      </x:c>
      <x:c r="N40" s="26" t="n">
        <x:v>23.3</x:v>
      </x:c>
      <x:c r="O40" s="22" t="n">
        <x:v>20</x:v>
      </x:c>
      <x:c r="P40" s="22" t="n">
        <x:v>5</x:v>
      </x:c>
      <x:c r="Q40" s="22" t="n">
        <x:v>0</x:v>
      </x:c>
      <x:c r="R40" s="17" t="n">
        <x:v>14</x:v>
      </x:c>
      <x:c r="S40" s="22" t="n">
        <x:v>74</x:v>
      </x:c>
      <x:c r="T40" s="24" t="n">
        <x:v>4.3</x:v>
      </x:c>
      <x:c r="U40" s="24" t="n">
        <x:f>IFERROR(O40/T40,0)</x:f>
        <x:v>4.651162790697675</x:v>
      </x:c>
      <x:c r="V40" s="17" t="str">
        <x:f>IF(O40&lt;=0,"out_of_stock",IF(U40&lt;7,"critical_low_stock",IF(U40&gt;60,"overstock","in_stock")))</x:f>
        <x:v>critical_low_stock</x:v>
      </x:c>
      <x:c r="W40" s="17" t="str">
        <x:f>IF(O40&lt;=0,"OOS",IF(AND(U40&lt;7,AC40&gt;=0.5),"High Risk",IF(U40&lt;14,"Medium Risk",IF(U40&gt;60,"Overstock","Healthy"))))</x:f>
        <x:v>High Risk</x:v>
      </x:c>
      <x:c r="X40" s="22" t="n">
        <x:v>1706</x:v>
      </x:c>
      <x:c r="Y40" s="22" t="n">
        <x:v>129</x:v>
      </x:c>
      <x:c r="Z40" s="22" t="n">
        <x:v>16</x:v>
      </x:c>
      <x:c r="AA40" s="24" t="n">
        <x:f>IFERROR(Y40/X40*100,0)</x:f>
        <x:v>7.561547479484173</x:v>
      </x:c>
      <x:c r="AB40" s="26" t="n">
        <x:v>-5.7</x:v>
      </x:c>
      <x:c r="AC40" s="24" t="n">
        <x:f>IFERROR(Z40/X40*100,0)</x:f>
        <x:v>0.9378663540445485</x:v>
      </x:c>
      <x:c r="AD40" s="26" t="n">
        <x:v>62</x:v>
      </x:c>
      <x:c r="AE40" s="22" t="n">
        <x:f>IFERROR(Z40*M40,0)</x:f>
        <x:v>152016</x:v>
      </x:c>
      <x:c r="AF40" s="26" t="n">
        <x:v>196.6</x:v>
      </x:c>
      <x:c r="AG40" s="24" t="n">
        <x:v>58</x:v>
      </x:c>
      <x:c r="AH40" s="26" t="n">
        <x:v>-7.5</x:v>
      </x:c>
      <x:c r="AI40" s="22" t="n">
        <x:v>113</x:v>
      </x:c>
      <x:c r="AJ40" s="22" t="n">
        <x:v>63</x:v>
      </x:c>
      <x:c r="AK40" s="22" t="n">
        <x:v>53</x:v>
      </x:c>
      <x:c r="AL40" s="22" t="n">
        <x:v>38</x:v>
      </x:c>
      <x:c r="AM40" s="22" t="n">
        <x:v>25</x:v>
      </x:c>
      <x:c r="AN40" s="24" t="n">
        <x:f>IFERROR(AI40/X40*100,0)</x:f>
        <x:v>6.623681125439624</x:v>
      </x:c>
      <x:c r="AO40" s="24" t="n">
        <x:f>IFERROR(AJ40/X40*100,0)</x:f>
        <x:v>3.69284876905041</x:v>
      </x:c>
      <x:c r="AP40" s="24" t="n">
        <x:f>IFERROR(AK40/X40*100,0)</x:f>
        <x:v>3.1066822977725677</x:v>
      </x:c>
      <x:c r="AQ40" s="24" t="n">
        <x:f>IFERROR(AL40/X40*100,0)</x:f>
        <x:v>2.2274325908558033</x:v>
      </x:c>
      <x:c r="AR40" s="24" t="n">
        <x:f>IFERROR(AM40/X40*100,0)</x:f>
        <x:v>1.4654161781946073</x:v>
      </x:c>
      <x:c r="AS40" s="24" t="n">
        <x:f>IFERROR(Z40/X40*100,0)</x:f>
        <x:v>0.9378663540445485</x:v>
      </x:c>
      <x:c r="AT40" s="26" t="n">
        <x:v>78.3</x:v>
      </x:c>
      <x:c r="AU40" s="26" t="n">
        <x:v>9.3</x:v>
      </x:c>
      <x:c r="AV40" s="26" t="n">
        <x:v>12</x:v>
      </x:c>
      <x:c r="AW40" s="26" t="n">
        <x:v>-30.7</x:v>
      </x:c>
      <x:c r="AX40" s="26" t="n">
        <x:v>-16.8</x:v>
      </x:c>
      <x:c r="AY40" s="26" t="n">
        <x:v>-9.3</x:v>
      </x:c>
      <x:c r="AZ40" s="26" t="n">
        <x:v>-20</x:v>
      </x:c>
      <x:c r="BA40" s="26" t="n">
        <x:v>175</x:v>
      </x:c>
      <x:c r="BB40" s="22" t="n">
        <x:f>IFERROR(AE40/Z40,0)</x:f>
        <x:v>9501</x:v>
      </x:c>
      <x:c r="BC40" s="17" t="n">
        <x:f>IF(OR(V40="out_of_stock",V40="critical_low_stock"),MAX(0,(14-U40)*T40),0)</x:f>
        <x:v>40.199999999999996</x:v>
      </x:c>
      <x:c r="BD40" s="22" t="n">
        <x:f>IFERROR(BC40*M40,0)</x:f>
        <x:v>381940.19999999995</x:v>
      </x:c>
      <x:c r="BE40" s="17" t="str">
        <x:v>stock_sales_behavior</x:v>
      </x:c>
      <x:c r="BF40" s="17" t="str">
        <x:v>copied_from_uploaded_product2 + synthetic_stock</x:v>
      </x:c>
    </x:row>
    <x:row r="41">
      <x:c r="A41" s="17" t="n">
        <x:v>40</x:v>
      </x:c>
      <x:c r="B41" s="17" t="str">
        <x:v>PRODUCT_STOCK_BEHAVIOR</x:v>
      </x:c>
      <x:c r="C41" s="20" t="n">
        <x:v>46155</x:v>
      </x:c>
      <x:c r="D41" s="17" t="str">
        <x:v>App</x:v>
      </x:c>
      <x:c r="E41" s="17" t="str">
        <x:v>Mobile</x:v>
      </x:c>
      <x:c r="F41" s="17" t="str">
        <x:v>Affiliate</x:v>
      </x:c>
      <x:c r="G41" s="17" t="n">
        <x:v>29</x:v>
      </x:c>
      <x:c r="H41" s="17" t="str">
        <x:v>BRAUN</x:v>
      </x:c>
      <x:c r="I41" s="17" t="str">
        <x:v>Telefon</x:v>
      </x:c>
      <x:c r="J41" s="17" t="str">
        <x:v>Telefon Aksesuarları</x:v>
      </x:c>
      <x:c r="K41" s="17" t="str">
        <x:v>BRAUN Silk Expert Pro 5 PL5146 400.000 Atımlı Yeni Nesil Kablolu IPL Lazer Ep. Cihazı + FS1000 Mini Tüy Alıcı Gold</x:v>
      </x:c>
      <x:c r="L41" s="17" t="str">
        <x:v>1236701</x:v>
      </x:c>
      <x:c r="M41" s="22" t="n">
        <x:v>1356</x:v>
      </x:c>
      <x:c r="N41" s="26" t="n">
        <x:v>18.6</x:v>
      </x:c>
      <x:c r="O41" s="22" t="n">
        <x:v>0</x:v>
      </x:c>
      <x:c r="P41" s="22" t="n">
        <x:v>0</x:v>
      </x:c>
      <x:c r="Q41" s="22" t="n">
        <x:v>76</x:v>
      </x:c>
      <x:c r="R41" s="17" t="n">
        <x:v>21</x:v>
      </x:c>
      <x:c r="S41" s="22" t="n">
        <x:v>51</x:v>
      </x:c>
      <x:c r="T41" s="24" t="n">
        <x:v>2.1</x:v>
      </x:c>
      <x:c r="U41" s="24" t="n">
        <x:f>IFERROR(O41/T41,0)</x:f>
        <x:v>0</x:v>
      </x:c>
      <x:c r="V41" s="17" t="str">
        <x:f>IF(O41&lt;=0,"out_of_stock",IF(U41&lt;7,"critical_low_stock",IF(U41&gt;60,"overstock","in_stock")))</x:f>
        <x:v>out_of_stock</x:v>
      </x:c>
      <x:c r="W41" s="17" t="str">
        <x:f>IF(O41&lt;=0,"OOS",IF(AND(U41&lt;7,AC41&gt;=0.5),"High Risk",IF(U41&lt;14,"Medium Risk",IF(U41&gt;60,"Overstock","Healthy"))))</x:f>
        <x:v>OOS</x:v>
      </x:c>
      <x:c r="X41" s="22" t="n">
        <x:v>1705</x:v>
      </x:c>
      <x:c r="Y41" s="22" t="n">
        <x:v>114</x:v>
      </x:c>
      <x:c r="Z41" s="22" t="n">
        <x:v>9</x:v>
      </x:c>
      <x:c r="AA41" s="24" t="n">
        <x:f>IFERROR(Y41/X41*100,0)</x:f>
        <x:v>6.686217008797654</x:v>
      </x:c>
      <x:c r="AB41" s="26" t="n">
        <x:v>-0.3</x:v>
      </x:c>
      <x:c r="AC41" s="24" t="n">
        <x:f>IFERROR(Z41/X41*100,0)</x:f>
        <x:v>0.5278592375366569</x:v>
      </x:c>
      <x:c r="AD41" s="26" t="n">
        <x:v>60.6</x:v>
      </x:c>
      <x:c r="AE41" s="22" t="n">
        <x:f>IFERROR(Z41*M41,0)</x:f>
        <x:v>12204</x:v>
      </x:c>
      <x:c r="AF41" s="26" t="n">
        <x:v>101.8</x:v>
      </x:c>
      <x:c r="AG41" s="24" t="n">
        <x:v>67</x:v>
      </x:c>
      <x:c r="AH41" s="26" t="n">
        <x:v>-5.6</x:v>
      </x:c>
      <x:c r="AI41" s="22" t="n">
        <x:v>97</x:v>
      </x:c>
      <x:c r="AJ41" s="22" t="n">
        <x:v>31</x:v>
      </x:c>
      <x:c r="AK41" s="22" t="n">
        <x:v>17</x:v>
      </x:c>
      <x:c r="AL41" s="22" t="n">
        <x:v>13</x:v>
      </x:c>
      <x:c r="AM41" s="22" t="n">
        <x:v>9</x:v>
      </x:c>
      <x:c r="AN41" s="24" t="n">
        <x:f>IFERROR(AI41/X41*100,0)</x:f>
        <x:v>5.689149560117302</x:v>
      </x:c>
      <x:c r="AO41" s="24" t="n">
        <x:f>IFERROR(AJ41/X41*100,0)</x:f>
        <x:v>1.8181818181818181</x:v>
      </x:c>
      <x:c r="AP41" s="24" t="n">
        <x:f>IFERROR(AK41/X41*100,0)</x:f>
        <x:v>0.997067448680352</x:v>
      </x:c>
      <x:c r="AQ41" s="24" t="n">
        <x:f>IFERROR(AL41/X41*100,0)</x:f>
        <x:v>0.7624633431085044</x:v>
      </x:c>
      <x:c r="AR41" s="24" t="n">
        <x:f>IFERROR(AM41/X41*100,0)</x:f>
        <x:v>0.5278592375366569</x:v>
      </x:c>
      <x:c r="AS41" s="24" t="n">
        <x:f>IFERROR(Z41/X41*100,0)</x:f>
        <x:v>0.5278592375366569</x:v>
      </x:c>
      <x:c r="AT41" s="26" t="n">
        <x:v>5.6</x:v>
      </x:c>
      <x:c r="AU41" s="26" t="n">
        <x:v>-1</x:v>
      </x:c>
      <x:c r="AV41" s="26" t="n">
        <x:v>-1.8</x:v>
      </x:c>
      <x:c r="AW41" s="26" t="n">
        <x:v>-70.1</x:v>
      </x:c>
      <x:c r="AX41" s="26" t="n">
        <x:v>-1.9</x:v>
      </x:c>
      <x:c r="AY41" s="26" t="n">
        <x:v>3</x:v>
      </x:c>
      <x:c r="AZ41" s="26" t="n">
        <x:v>-12.6</x:v>
      </x:c>
      <x:c r="BA41" s="26" t="n">
        <x:v>75</x:v>
      </x:c>
      <x:c r="BB41" s="22" t="n">
        <x:f>IFERROR(AE41/Z41,0)</x:f>
        <x:v>1356</x:v>
      </x:c>
      <x:c r="BC41" s="17" t="n">
        <x:f>IF(OR(V41="out_of_stock",V41="critical_low_stock"),MAX(0,(14-U41)*T41),0)</x:f>
        <x:v>29.400000000000002</x:v>
      </x:c>
      <x:c r="BD41" s="22" t="n">
        <x:f>IFERROR(BC41*M41,0)</x:f>
        <x:v>39866.4</x:v>
      </x:c>
      <x:c r="BE41" s="17" t="str">
        <x:v>stock_sales_behavior</x:v>
      </x:c>
      <x:c r="BF41" s="17" t="str">
        <x:v>copied_from_uploaded_product2 + synthetic_stock</x:v>
      </x:c>
    </x:row>
    <x:row r="42">
      <x:c r="A42" s="17" t="n">
        <x:v>41</x:v>
      </x:c>
      <x:c r="B42" s="17" t="str">
        <x:v>PRODUCT_STOCK_BEHAVIOR</x:v>
      </x:c>
      <x:c r="C42" s="20" t="n">
        <x:v>46156</x:v>
      </x:c>
      <x:c r="D42" s="17" t="str">
        <x:v>Web</x:v>
      </x:c>
      <x:c r="E42" s="17" t="str">
        <x:v>App</x:v>
      </x:c>
      <x:c r="F42" s="17" t="str">
        <x:v>Price Comparison</x:v>
      </x:c>
      <x:c r="G42" s="17" t="n">
        <x:v>28</x:v>
      </x:c>
      <x:c r="H42" s="17" t="str">
        <x:v>APPLE</x:v>
      </x:c>
      <x:c r="I42" s="17" t="str">
        <x:v>Telefon</x:v>
      </x:c>
      <x:c r="J42" s="17" t="str">
        <x:v>Cep Telefonları</x:v>
      </x:c>
      <x:c r="K42" s="17" t="str">
        <x:v>APPLE iPhone 17 Pro Max 512 GB Akıllı Telefon Gümüş MFYQ4TU/A</x:v>
      </x:c>
      <x:c r="L42" s="17" t="str">
        <x:v>1249255</x:v>
      </x:c>
      <x:c r="M42" s="22" t="n">
        <x:v>89242</x:v>
      </x:c>
      <x:c r="N42" s="26" t="n">
        <x:v>14.2</x:v>
      </x:c>
      <x:c r="O42" s="22" t="n">
        <x:v>11</x:v>
      </x:c>
      <x:c r="P42" s="22" t="n">
        <x:v>7</x:v>
      </x:c>
      <x:c r="Q42" s="22" t="n">
        <x:v>0</x:v>
      </x:c>
      <x:c r="R42" s="17" t="n">
        <x:v>14</x:v>
      </x:c>
      <x:c r="S42" s="22" t="n">
        <x:v>12</x:v>
      </x:c>
      <x:c r="T42" s="24" t="n">
        <x:v>0.7</x:v>
      </x:c>
      <x:c r="U42" s="24" t="n">
        <x:f>IFERROR(O42/T42,0)</x:f>
        <x:v>15.714285714285715</x:v>
      </x:c>
      <x:c r="V42" s="17" t="str">
        <x:f>IF(O42&lt;=0,"out_of_stock",IF(U42&lt;7,"critical_low_stock",IF(U42&gt;60,"overstock","in_stock")))</x:f>
        <x:v>in_stock</x:v>
      </x:c>
      <x:c r="W42" s="17" t="str">
        <x:f>IF(O42&lt;=0,"OOS",IF(AND(U42&lt;7,AC42&gt;=0.5),"High Risk",IF(U42&lt;14,"Medium Risk",IF(U42&gt;60,"Overstock","Healthy"))))</x:f>
        <x:v>Healthy</x:v>
      </x:c>
      <x:c r="X42" s="22" t="n">
        <x:v>1695</x:v>
      </x:c>
      <x:c r="Y42" s="22" t="n">
        <x:v>154</x:v>
      </x:c>
      <x:c r="Z42" s="22" t="n">
        <x:v>1</x:v>
      </x:c>
      <x:c r="AA42" s="24" t="n">
        <x:f>IFERROR(Y42/X42*100,0)</x:f>
        <x:v>9.085545722713864</x:v>
      </x:c>
      <x:c r="AB42" s="26" t="n">
        <x:v>0.2</x:v>
      </x:c>
      <x:c r="AC42" s="24" t="n">
        <x:f>IFERROR(Z42/X42*100,0)</x:f>
        <x:v>0.058997050147492625</x:v>
      </x:c>
      <x:c r="AD42" s="26" t="n">
        <x:v>-66.6</x:v>
      </x:c>
      <x:c r="AE42" s="22" t="n">
        <x:f>IFERROR(Z42*M42,0)</x:f>
        <x:v>89242</x:v>
      </x:c>
      <x:c r="AF42" s="26" t="n">
        <x:v>-58.2</x:v>
      </x:c>
      <x:c r="AG42" s="24" t="n">
        <x:v>59</x:v>
      </x:c>
      <x:c r="AH42" s="26" t="n">
        <x:v>4</x:v>
      </x:c>
      <x:c r="AI42" s="22" t="n">
        <x:v>115</x:v>
      </x:c>
      <x:c r="AJ42" s="22" t="n">
        <x:v>36</x:v>
      </x:c>
      <x:c r="AK42" s="22" t="n">
        <x:v>28</x:v>
      </x:c>
      <x:c r="AL42" s="22" t="n">
        <x:v>26</x:v>
      </x:c>
      <x:c r="AM42" s="22" t="n">
        <x:v>20</x:v>
      </x:c>
      <x:c r="AN42" s="24" t="n">
        <x:f>IFERROR(AI42/X42*100,0)</x:f>
        <x:v>6.784660766961652</x:v>
      </x:c>
      <x:c r="AO42" s="24" t="n">
        <x:f>IFERROR(AJ42/X42*100,0)</x:f>
        <x:v>2.1238938053097343</x:v>
      </x:c>
      <x:c r="AP42" s="24" t="n">
        <x:f>IFERROR(AK42/X42*100,0)</x:f>
        <x:v>1.6519174041297935</x:v>
      </x:c>
      <x:c r="AQ42" s="24" t="n">
        <x:f>IFERROR(AL42/X42*100,0)</x:f>
        <x:v>1.5339233038348081</x:v>
      </x:c>
      <x:c r="AR42" s="24" t="n">
        <x:f>IFERROR(AM42/X42*100,0)</x:f>
        <x:v>1.1799410029498525</x:v>
      </x:c>
      <x:c r="AS42" s="24" t="n">
        <x:f>IFERROR(Z42/X42*100,0)</x:f>
        <x:v>0.058997050147492625</x:v>
      </x:c>
      <x:c r="AT42" s="26" t="n">
        <x:v>-2.2</x:v>
      </x:c>
      <x:c r="AU42" s="26" t="n">
        <x:v>-3.7</x:v>
      </x:c>
      <x:c r="AV42" s="26" t="n">
        <x:v>-11.8</x:v>
      </x:c>
      <x:c r="AW42" s="26" t="n">
        <x:v>14.3</x:v>
      </x:c>
      <x:c r="AX42" s="26" t="n">
        <x:v>12</x:v>
      </x:c>
      <x:c r="AY42" s="26" t="n">
        <x:v>-4.2</x:v>
      </x:c>
      <x:c r="AZ42" s="26" t="n">
        <x:v>-29.7</x:v>
      </x:c>
      <x:c r="BA42" s="26" t="n">
        <x:v>-66.7</x:v>
      </x:c>
      <x:c r="BB42" s="22" t="n">
        <x:f>IFERROR(AE42/Z42,0)</x:f>
        <x:v>89242</x:v>
      </x:c>
      <x:c r="BC42" s="17" t="n">
        <x:f>IF(OR(V42="out_of_stock",V42="critical_low_stock"),MAX(0,(14-U42)*T42),0)</x:f>
        <x:v>0</x:v>
      </x:c>
      <x:c r="BD42" s="22" t="n">
        <x:f>IFERROR(BC42*M42,0)</x:f>
        <x:v>0</x:v>
      </x:c>
      <x:c r="BE42" s="17" t="str">
        <x:v>stock_sales_behavior</x:v>
      </x:c>
      <x:c r="BF42" s="17" t="str">
        <x:v>copied_from_uploaded_product2 + synthetic_stock</x:v>
      </x:c>
    </x:row>
    <x:row r="43">
      <x:c r="A43" s="17" t="n">
        <x:v>42</x:v>
      </x:c>
      <x:c r="B43" s="17" t="str">
        <x:v>PRODUCT_STOCK_BEHAVIOR</x:v>
      </x:c>
      <x:c r="C43" s="20" t="n">
        <x:v>46143</x:v>
      </x:c>
      <x:c r="D43" s="17" t="str">
        <x:v>App</x:v>
      </x:c>
      <x:c r="E43" s="17" t="str">
        <x:v>App</x:v>
      </x:c>
      <x:c r="F43" s="17" t="str">
        <x:v>Search Organic Brand</x:v>
      </x:c>
      <x:c r="G43" s="17" t="n">
        <x:v>24</x:v>
      </x:c>
      <x:c r="H43" s="17" t="str">
        <x:v>APPLE</x:v>
      </x:c>
      <x:c r="I43" s="17" t="str">
        <x:v>Bilgisayar</x:v>
      </x:c>
      <x:c r="J43" s="17" t="str">
        <x:v>Tabletler</x:v>
      </x:c>
      <x:c r="K43" s="17" t="str">
        <x:v>APPLE 11 inç iPad Pro (M4) için Magic Türkçe Q Klavye Beyaz</x:v>
      </x:c>
      <x:c r="L43" s="17" t="str">
        <x:v>1237298</x:v>
      </x:c>
      <x:c r="M43" s="22" t="n">
        <x:v>41267</x:v>
      </x:c>
      <x:c r="N43" s="26" t="n">
        <x:v>-13.1</x:v>
      </x:c>
      <x:c r="O43" s="22" t="n">
        <x:v>72</x:v>
      </x:c>
      <x:c r="P43" s="22" t="n">
        <x:v>44</x:v>
      </x:c>
      <x:c r="Q43" s="22" t="n">
        <x:v>0</x:v>
      </x:c>
      <x:c r="R43" s="17" t="n">
        <x:v>7</x:v>
      </x:c>
      <x:c r="S43" s="22" t="n">
        <x:v>22</x:v>
      </x:c>
      <x:c r="T43" s="24" t="n">
        <x:v>2.2</x:v>
      </x:c>
      <x:c r="U43" s="24" t="n">
        <x:f>IFERROR(O43/T43,0)</x:f>
        <x:v>32.72727272727273</x:v>
      </x:c>
      <x:c r="V43" s="17" t="str">
        <x:f>IF(O43&lt;=0,"out_of_stock",IF(U43&lt;7,"critical_low_stock",IF(U43&gt;60,"overstock","in_stock")))</x:f>
        <x:v>in_stock</x:v>
      </x:c>
      <x:c r="W43" s="17" t="str">
        <x:f>IF(O43&lt;=0,"OOS",IF(AND(U43&lt;7,AC43&gt;=0.5),"High Risk",IF(U43&lt;14,"Medium Risk",IF(U43&gt;60,"Overstock","Healthy"))))</x:f>
        <x:v>Healthy</x:v>
      </x:c>
      <x:c r="X43" s="22" t="n">
        <x:v>1671</x:v>
      </x:c>
      <x:c r="Y43" s="22" t="n">
        <x:v>27</x:v>
      </x:c>
      <x:c r="Z43" s="22" t="n">
        <x:v>0</x:v>
      </x:c>
      <x:c r="AA43" s="24" t="n">
        <x:f>IFERROR(Y43/X43*100,0)</x:f>
        <x:v>1.615798922800718</x:v>
      </x:c>
      <x:c r="AB43" s="26" t="n">
        <x:v>54.9</x:v>
      </x:c>
      <x:c r="AC43" s="24" t="n">
        <x:f>IFERROR(Z43/X43*100,0)</x:f>
        <x:v>0</x:v>
      </x:c>
      <x:c r="AD43" s="26" t="n">
        <x:v>166</x:v>
      </x:c>
      <x:c r="AE43" s="22" t="n">
        <x:f>IFERROR(Z43*M43,0)</x:f>
        <x:v>0</x:v>
      </x:c>
      <x:c r="AF43" s="26" t="n">
        <x:v>165.6</x:v>
      </x:c>
      <x:c r="AG43" s="24" t="n">
        <x:v>87</x:v>
      </x:c>
      <x:c r="AH43" s="26" t="n">
        <x:v>-1.2</x:v>
      </x:c>
      <x:c r="AI43" s="22" t="n">
        <x:v>24</x:v>
      </x:c>
      <x:c r="AJ43" s="22" t="n">
        <x:v>18</x:v>
      </x:c>
      <x:c r="AK43" s="22" t="n">
        <x:v>11</x:v>
      </x:c>
      <x:c r="AL43" s="22" t="n">
        <x:v>9</x:v>
      </x:c>
      <x:c r="AM43" s="22" t="n">
        <x:v>5</x:v>
      </x:c>
      <x:c r="AN43" s="24" t="n">
        <x:f>IFERROR(AI43/X43*100,0)</x:f>
        <x:v>1.436265709156194</x:v>
      </x:c>
      <x:c r="AO43" s="24" t="n">
        <x:f>IFERROR(AJ43/X43*100,0)</x:f>
        <x:v>1.0771992818671454</x:v>
      </x:c>
      <x:c r="AP43" s="24" t="n">
        <x:f>IFERROR(AK43/X43*100,0)</x:f>
        <x:v>0.6582884500299222</x:v>
      </x:c>
      <x:c r="AQ43" s="24" t="n">
        <x:f>IFERROR(AL43/X43*100,0)</x:f>
        <x:v>0.5385996409335727</x:v>
      </x:c>
      <x:c r="AR43" s="24" t="n">
        <x:f>IFERROR(AM43/X43*100,0)</x:f>
        <x:v>0.2992220227408737</x:v>
      </x:c>
      <x:c r="AS43" s="24" t="n">
        <x:f>IFERROR(Z43/X43*100,0)</x:f>
        <x:v>0</x:v>
      </x:c>
      <x:c r="AT43" s="26" t="n">
        <x:v>8.6</x:v>
      </x:c>
      <x:c r="AU43" s="26" t="n">
        <x:v>56.3</x:v>
      </x:c>
      <x:c r="AV43" s="26" t="n">
        <x:v>63.6</x:v>
      </x:c>
      <x:c r="AW43" s="26" t="n">
        <x:v>-50.1</x:v>
      </x:c>
      <x:c r="AX43" s="26" t="n">
        <x:v>7.7</x:v>
      </x:c>
      <x:c r="AY43" s="26" t="n">
        <x:v>-6.3</x:v>
      </x:c>
      <x:c r="AZ43" s="26" t="n">
        <x:v>7</x:v>
      </x:c>
      <x:c r="BA43" s="26" t="n">
        <x:v>166</x:v>
      </x:c>
      <x:c r="BB43" s="22" t="n">
        <x:f>IFERROR(AE43/Z43,0)</x:f>
        <x:v>0</x:v>
      </x:c>
      <x:c r="BC43" s="17" t="n">
        <x:f>IF(OR(V43="out_of_stock",V43="critical_low_stock"),MAX(0,(14-U43)*T43),0)</x:f>
        <x:v>0</x:v>
      </x:c>
      <x:c r="BD43" s="22" t="n">
        <x:f>IFERROR(BC43*M43,0)</x:f>
        <x:v>0</x:v>
      </x:c>
      <x:c r="BE43" s="17" t="str">
        <x:v>stock_sales_behavior</x:v>
      </x:c>
      <x:c r="BF43" s="17" t="str">
        <x:v>copied_from_uploaded_product2 + synthetic_stock</x:v>
      </x:c>
    </x:row>
    <x:row r="44">
      <x:c r="A44" s="17" t="n">
        <x:v>43</x:v>
      </x:c>
      <x:c r="B44" s="17" t="str">
        <x:v>PRODUCT_STOCK_BEHAVIOR</x:v>
      </x:c>
      <x:c r="C44" s="20" t="n">
        <x:v>46144</x:v>
      </x:c>
      <x:c r="D44" s="17" t="str">
        <x:v>Mobile Web</x:v>
      </x:c>
      <x:c r="E44" s="17" t="str">
        <x:v>Desktop</x:v>
      </x:c>
      <x:c r="F44" s="17" t="str">
        <x:v>Search Organic Generic</x:v>
      </x:c>
      <x:c r="G44" s="17" t="n">
        <x:v>24</x:v>
      </x:c>
      <x:c r="H44" s="17" t="str">
        <x:v>APPLE</x:v>
      </x:c>
      <x:c r="I44" s="17" t="str">
        <x:v>Bilgisayar</x:v>
      </x:c>
      <x:c r="J44" s="17" t="str">
        <x:v>Tabletler</x:v>
      </x:c>
      <x:c r="K44" s="17" t="str">
        <x:v>APPLE iPad (A16) Wi-Fi 128 GB Tablet Mavi MD4A4TU/A</x:v>
      </x:c>
      <x:c r="L44" s="17" t="str">
        <x:v>1245606</x:v>
      </x:c>
      <x:c r="M44" s="22" t="n">
        <x:v>30637</x:v>
      </x:c>
      <x:c r="N44" s="26" t="n">
        <x:v>-8</x:v>
      </x:c>
      <x:c r="O44" s="22" t="n">
        <x:v>80</x:v>
      </x:c>
      <x:c r="P44" s="22" t="n">
        <x:v>86</x:v>
      </x:c>
      <x:c r="Q44" s="22" t="n">
        <x:v>0</x:v>
      </x:c>
      <x:c r="R44" s="17" t="n">
        <x:v>21</x:v>
      </x:c>
      <x:c r="S44" s="22" t="n">
        <x:v>82</x:v>
      </x:c>
      <x:c r="T44" s="24" t="n">
        <x:v>3.4</x:v>
      </x:c>
      <x:c r="U44" s="24" t="n">
        <x:f>IFERROR(O44/T44,0)</x:f>
        <x:v>23.529411764705884</x:v>
      </x:c>
      <x:c r="V44" s="17" t="str">
        <x:f>IF(O44&lt;=0,"out_of_stock",IF(U44&lt;7,"critical_low_stock",IF(U44&gt;60,"overstock","in_stock")))</x:f>
        <x:v>in_stock</x:v>
      </x:c>
      <x:c r="W44" s="17" t="str">
        <x:f>IF(O44&lt;=0,"OOS",IF(AND(U44&lt;7,AC44&gt;=0.5),"High Risk",IF(U44&lt;14,"Medium Risk",IF(U44&gt;60,"Overstock","Healthy"))))</x:f>
        <x:v>Healthy</x:v>
      </x:c>
      <x:c r="X44" s="22" t="n">
        <x:v>1666</x:v>
      </x:c>
      <x:c r="Y44" s="22" t="n">
        <x:v>153</x:v>
      </x:c>
      <x:c r="Z44" s="22" t="n">
        <x:v>23</x:v>
      </x:c>
      <x:c r="AA44" s="24" t="n">
        <x:f>IFERROR(Y44/X44*100,0)</x:f>
        <x:v>9.183673469387756</x:v>
      </x:c>
      <x:c r="AB44" s="26" t="n">
        <x:v>6</x:v>
      </x:c>
      <x:c r="AC44" s="24" t="n">
        <x:f>IFERROR(Z44/X44*100,0)</x:f>
        <x:v>1.3805522208883554</x:v>
      </x:c>
      <x:c r="AD44" s="26" t="n">
        <x:v>16.6</x:v>
      </x:c>
      <x:c r="AE44" s="22" t="n">
        <x:f>IFERROR(Z44*M44,0)</x:f>
        <x:v>704651</x:v>
      </x:c>
      <x:c r="AF44" s="26" t="n">
        <x:v>7.6</x:v>
      </x:c>
      <x:c r="AG44" s="24" t="n">
        <x:v>57</x:v>
      </x:c>
      <x:c r="AH44" s="26" t="n">
        <x:v>3.5</x:v>
      </x:c>
      <x:c r="AI44" s="22" t="n">
        <x:v>114</x:v>
      </x:c>
      <x:c r="AJ44" s="22" t="n">
        <x:v>42</x:v>
      </x:c>
      <x:c r="AK44" s="22" t="n">
        <x:v>31</x:v>
      </x:c>
      <x:c r="AL44" s="22" t="n">
        <x:v>24</x:v>
      </x:c>
      <x:c r="AM44" s="22" t="n">
        <x:v>23</x:v>
      </x:c>
      <x:c r="AN44" s="24" t="n">
        <x:f>IFERROR(AI44/X44*100,0)</x:f>
        <x:v>6.8427370948379345</x:v>
      </x:c>
      <x:c r="AO44" s="24" t="n">
        <x:f>IFERROR(AJ44/X44*100,0)</x:f>
        <x:v>2.5210084033613445</x:v>
      </x:c>
      <x:c r="AP44" s="24" t="n">
        <x:f>IFERROR(AK44/X44*100,0)</x:f>
        <x:v>1.8607442977190876</x:v>
      </x:c>
      <x:c r="AQ44" s="24" t="n">
        <x:f>IFERROR(AL44/X44*100,0)</x:f>
        <x:v>1.440576230492197</x:v>
      </x:c>
      <x:c r="AR44" s="24" t="n">
        <x:f>IFERROR(AM44/X44*100,0)</x:f>
        <x:v>1.3805522208883554</x:v>
      </x:c>
      <x:c r="AS44" s="24" t="n">
        <x:f>IFERROR(Z44/X44*100,0)</x:f>
        <x:v>1.3805522208883554</x:v>
      </x:c>
      <x:c r="AT44" s="26" t="n">
        <x:v>1.3</x:v>
      </x:c>
      <x:c r="AU44" s="26" t="n">
        <x:v>12.1</x:v>
      </x:c>
      <x:c r="AV44" s="26" t="n">
        <x:v>21.7</x:v>
      </x:c>
      <x:c r="AW44" s="26" t="n">
        <x:v>-53.5</x:v>
      </x:c>
      <x:c r="AX44" s="26" t="n">
        <x:v>-6.6</x:v>
      </x:c>
      <x:c r="AY44" s="26" t="n">
        <x:v>13.5</x:v>
      </x:c>
      <x:c r="AZ44" s="26" t="n">
        <x:v>-16.5</x:v>
      </x:c>
      <x:c r="BA44" s="26" t="n">
        <x:v>14.3</x:v>
      </x:c>
      <x:c r="BB44" s="22" t="n">
        <x:f>IFERROR(AE44/Z44,0)</x:f>
        <x:v>30637</x:v>
      </x:c>
      <x:c r="BC44" s="17" t="n">
        <x:f>IF(OR(V44="out_of_stock",V44="critical_low_stock"),MAX(0,(14-U44)*T44),0)</x:f>
        <x:v>0</x:v>
      </x:c>
      <x:c r="BD44" s="22" t="n">
        <x:f>IFERROR(BC44*M44,0)</x:f>
        <x:v>0</x:v>
      </x:c>
      <x:c r="BE44" s="17" t="str">
        <x:v>stock_sales_behavior</x:v>
      </x:c>
      <x:c r="BF44" s="17" t="str">
        <x:v>copied_from_uploaded_product2 + synthetic_stock</x:v>
      </x:c>
    </x:row>
    <x:row r="45">
      <x:c r="A45" s="17" t="n">
        <x:v>44</x:v>
      </x:c>
      <x:c r="B45" s="17" t="str">
        <x:v>PRODUCT_STOCK_BEHAVIOR</x:v>
      </x:c>
      <x:c r="C45" s="20" t="n">
        <x:v>46145</x:v>
      </x:c>
      <x:c r="D45" s="17" t="str">
        <x:v>Web</x:v>
      </x:c>
      <x:c r="E45" s="17" t="str">
        <x:v>Desktop</x:v>
      </x:c>
      <x:c r="F45" s="17" t="str">
        <x:v>Search Paid Generic</x:v>
      </x:c>
      <x:c r="G45" s="17" t="n">
        <x:v>28</x:v>
      </x:c>
      <x:c r="H45" s="17" t="str">
        <x:v>APPLE</x:v>
      </x:c>
      <x:c r="I45" s="17" t="str">
        <x:v>Telefon</x:v>
      </x:c>
      <x:c r="J45" s="17" t="str">
        <x:v>Cep Telefonları</x:v>
      </x:c>
      <x:c r="K45" s="17" t="str">
        <x:v>APPLE iPhone 16 256 GB Akıllı Telefon Siyah MYEE3TU/A</x:v>
      </x:c>
      <x:c r="L45" s="17" t="str">
        <x:v>1239568</x:v>
      </x:c>
      <x:c r="M45" s="22" t="n">
        <x:v>52426</x:v>
      </x:c>
      <x:c r="N45" s="26" t="n">
        <x:v>13.5</x:v>
      </x:c>
      <x:c r="O45" s="22" t="n">
        <x:v>153</x:v>
      </x:c>
      <x:c r="P45" s="22" t="n">
        <x:v>183</x:v>
      </x:c>
      <x:c r="Q45" s="22" t="n">
        <x:v>0</x:v>
      </x:c>
      <x:c r="R45" s="17" t="n">
        <x:v>10</x:v>
      </x:c>
      <x:c r="S45" s="22" t="n">
        <x:v>23</x:v>
      </x:c>
      <x:c r="T45" s="24" t="n">
        <x:v>1.7</x:v>
      </x:c>
      <x:c r="U45" s="24" t="n">
        <x:f>IFERROR(O45/T45,0)</x:f>
        <x:v>90</x:v>
      </x:c>
      <x:c r="V45" s="17" t="str">
        <x:f>IF(O45&lt;=0,"out_of_stock",IF(U45&lt;7,"critical_low_stock",IF(U45&gt;60,"overstock","in_stock")))</x:f>
        <x:v>overstock</x:v>
      </x:c>
      <x:c r="W45" s="17" t="str">
        <x:f>IF(O45&lt;=0,"OOS",IF(AND(U45&lt;7,AC45&gt;=0.5),"High Risk",IF(U45&lt;14,"Medium Risk",IF(U45&gt;60,"Overstock","Healthy"))))</x:f>
        <x:v>Overstock</x:v>
      </x:c>
      <x:c r="X45" s="22" t="n">
        <x:v>1527</x:v>
      </x:c>
      <x:c r="Y45" s="22" t="n">
        <x:v>0</x:v>
      </x:c>
      <x:c r="Z45" s="22" t="n">
        <x:v>0</x:v>
      </x:c>
      <x:c r="AA45" s="24" t="n">
        <x:f>IFERROR(Y45/X45*100,0)</x:f>
        <x:v>0</x:v>
      </x:c>
      <x:c r="AB45" s="26" t="n">
        <x:v>166</x:v>
      </x:c>
      <x:c r="AC45" s="24" t="n">
        <x:f>IFERROR(Z45/X45*100,0)</x:f>
        <x:v>0</x:v>
      </x:c>
      <x:c r="AD45" s="26" t="n">
        <x:v>166</x:v>
      </x:c>
      <x:c r="AE45" s="22" t="n">
        <x:f>IFERROR(Z45*M45,0)</x:f>
        <x:v>0</x:v>
      </x:c>
      <x:c r="AF45" s="26" t="n">
        <x:v>182.2</x:v>
      </x:c>
      <x:c r="AG45" s="24" t="n">
        <x:v>44</x:v>
      </x:c>
      <x:c r="AH45" s="26" t="n">
        <x:v>5.8</x:v>
      </x:c>
      <x:c r="AI45" s="22" t="n">
        <x:v>0</x:v>
      </x:c>
      <x:c r="AJ45" s="22" t="n">
        <x:v>0</x:v>
      </x:c>
      <x:c r="AK45" s="22" t="n">
        <x:v>0</x:v>
      </x:c>
      <x:c r="AL45" s="22" t="n">
        <x:v>0</x:v>
      </x:c>
      <x:c r="AM45" s="22" t="n">
        <x:v>0</x:v>
      </x:c>
      <x:c r="AN45" s="24" t="n">
        <x:f>IFERROR(AI45/X45*100,0)</x:f>
        <x:v>0</x:v>
      </x:c>
      <x:c r="AO45" s="24" t="n">
        <x:f>IFERROR(AJ45/X45*100,0)</x:f>
        <x:v>0</x:v>
      </x:c>
      <x:c r="AP45" s="24" t="n">
        <x:f>IFERROR(AK45/X45*100,0)</x:f>
        <x:v>0</x:v>
      </x:c>
      <x:c r="AQ45" s="24" t="n">
        <x:f>IFERROR(AL45/X45*100,0)</x:f>
        <x:v>0</x:v>
      </x:c>
      <x:c r="AR45" s="24" t="n">
        <x:f>IFERROR(AM45/X45*100,0)</x:f>
        <x:v>0</x:v>
      </x:c>
      <x:c r="AS45" s="24" t="n">
        <x:f>IFERROR(Z45/X45*100,0)</x:f>
        <x:v>0</x:v>
      </x:c>
      <x:c r="AT45" s="26" t="n">
        <x:v>3.3</x:v>
      </x:c>
      <x:c r="AU45" s="26" t="n">
        <x:v>166</x:v>
      </x:c>
      <x:c r="AV45" s="26" t="n">
        <x:v>166.5</x:v>
      </x:c>
      <x:c r="AW45" s="26" t="n">
        <x:v>-33.9</x:v>
      </x:c>
      <x:c r="AX45" s="26" t="n">
        <x:v>5.3</x:v>
      </x:c>
      <x:c r="AY45" s="26" t="n">
        <x:v>-6.6</x:v>
      </x:c>
      <x:c r="AZ45" s="26" t="n">
        <x:v>-5.5</x:v>
      </x:c>
      <x:c r="BA45" s="26" t="n">
        <x:v>166</x:v>
      </x:c>
      <x:c r="BB45" s="22" t="n">
        <x:f>IFERROR(AE45/Z45,0)</x:f>
        <x:v>0</x:v>
      </x:c>
      <x:c r="BC45" s="17" t="n">
        <x:f>IF(OR(V45="out_of_stock",V45="critical_low_stock"),MAX(0,(14-U45)*T45),0)</x:f>
        <x:v>0</x:v>
      </x:c>
      <x:c r="BD45" s="22" t="n">
        <x:f>IFERROR(BC45*M45,0)</x:f>
        <x:v>0</x:v>
      </x:c>
      <x:c r="BE45" s="17" t="str">
        <x:v>stock_sales_behavior</x:v>
      </x:c>
      <x:c r="BF45" s="17" t="str">
        <x:v>copied_from_uploaded_product2 + synthetic_stock</x:v>
      </x:c>
    </x:row>
    <x:row r="46">
      <x:c r="A46" s="17" t="n">
        <x:v>45</x:v>
      </x:c>
      <x:c r="B46" s="17" t="str">
        <x:v>PRODUCT_STOCK_BEHAVIOR</x:v>
      </x:c>
      <x:c r="C46" s="20" t="n">
        <x:v>46146</x:v>
      </x:c>
      <x:c r="D46" s="17" t="str">
        <x:v>App</x:v>
      </x:c>
      <x:c r="E46" s="17" t="str">
        <x:v>Mobile</x:v>
      </x:c>
      <x:c r="F46" s="17" t="str">
        <x:v>Search Paid Generic</x:v>
      </x:c>
      <x:c r="G46" s="17" t="n">
        <x:v>28</x:v>
      </x:c>
      <x:c r="H46" s="17" t="str">
        <x:v>APPLE</x:v>
      </x:c>
      <x:c r="I46" s="17" t="str">
        <x:v>Telefon</x:v>
      </x:c>
      <x:c r="J46" s="17" t="str">
        <x:v>Cep Telefonları</x:v>
      </x:c>
      <x:c r="K46" s="17" t="str">
        <x:v>APPLE iPhone 16e 8/128 GB Akıllı Telefon Beyaz MD1R4TU/A</x:v>
      </x:c>
      <x:c r="L46" s="17" t="str">
        <x:v>1244800</x:v>
      </x:c>
      <x:c r="M46" s="22" t="n">
        <x:v>34529</x:v>
      </x:c>
      <x:c r="N46" s="26" t="n">
        <x:v>-16.6</x:v>
      </x:c>
      <x:c r="O46" s="22" t="n">
        <x:v>7</x:v>
      </x:c>
      <x:c r="P46" s="22" t="n">
        <x:v>9</x:v>
      </x:c>
      <x:c r="Q46" s="22" t="n">
        <x:v>45</x:v>
      </x:c>
      <x:c r="R46" s="17" t="n">
        <x:v>7</x:v>
      </x:c>
      <x:c r="S46" s="22" t="n">
        <x:v>20</x:v>
      </x:c>
      <x:c r="T46" s="24" t="n">
        <x:v>2</x:v>
      </x:c>
      <x:c r="U46" s="24" t="n">
        <x:f>IFERROR(O46/T46,0)</x:f>
        <x:v>3.5</x:v>
      </x:c>
      <x:c r="V46" s="17" t="str">
        <x:f>IF(O46&lt;=0,"out_of_stock",IF(U46&lt;7,"critical_low_stock",IF(U46&gt;60,"overstock","in_stock")))</x:f>
        <x:v>critical_low_stock</x:v>
      </x:c>
      <x:c r="W46" s="17" t="str">
        <x:f>IF(O46&lt;=0,"OOS",IF(AND(U46&lt;7,AC46&gt;=0.5),"High Risk",IF(U46&lt;14,"Medium Risk",IF(U46&gt;60,"Overstock","Healthy"))))</x:f>
        <x:v>Medium Risk</x:v>
      </x:c>
      <x:c r="X46" s="22" t="n">
        <x:v>1487</x:v>
      </x:c>
      <x:c r="Y46" s="22" t="n">
        <x:v>53</x:v>
      </x:c>
      <x:c r="Z46" s="22" t="n">
        <x:v>1</x:v>
      </x:c>
      <x:c r="AA46" s="24" t="n">
        <x:f>IFERROR(Y46/X46*100,0)</x:f>
        <x:v>3.5642232683254873</x:v>
      </x:c>
      <x:c r="AB46" s="26" t="n">
        <x:v>-14</x:v>
      </x:c>
      <x:c r="AC46" s="24" t="n">
        <x:f>IFERROR(Z46/X46*100,0)</x:f>
        <x:v>0.06724949562878278</x:v>
      </x:c>
      <x:c r="AD46" s="26" t="n">
        <x:v>166</x:v>
      </x:c>
      <x:c r="AE46" s="22" t="n">
        <x:f>IFERROR(Z46*M46,0)</x:f>
        <x:v>34529</x:v>
      </x:c>
      <x:c r="AF46" s="26" t="n">
        <x:v>157.2</x:v>
      </x:c>
      <x:c r="AG46" s="24" t="n">
        <x:v>55</x:v>
      </x:c>
      <x:c r="AH46" s="26" t="n">
        <x:v>-4.5</x:v>
      </x:c>
      <x:c r="AI46" s="22" t="n">
        <x:v>47</x:v>
      </x:c>
      <x:c r="AJ46" s="22" t="n">
        <x:v>32</x:v>
      </x:c>
      <x:c r="AK46" s="22" t="n">
        <x:v>21</x:v>
      </x:c>
      <x:c r="AL46" s="22" t="n">
        <x:v>16</x:v>
      </x:c>
      <x:c r="AM46" s="22" t="n">
        <x:v>12</x:v>
      </x:c>
      <x:c r="AN46" s="24" t="n">
        <x:f>IFERROR(AI46/X46*100,0)</x:f>
        <x:v>3.160726294552791</x:v>
      </x:c>
      <x:c r="AO46" s="24" t="n">
        <x:f>IFERROR(AJ46/X46*100,0)</x:f>
        <x:v>2.151983860121049</x:v>
      </x:c>
      <x:c r="AP46" s="24" t="n">
        <x:f>IFERROR(AK46/X46*100,0)</x:f>
        <x:v>1.4122394082044385</x:v>
      </x:c>
      <x:c r="AQ46" s="24" t="n">
        <x:f>IFERROR(AL46/X46*100,0)</x:f>
        <x:v>1.0759919300605245</x:v>
      </x:c>
      <x:c r="AR46" s="24" t="n">
        <x:f>IFERROR(AM46/X46*100,0)</x:f>
        <x:v>0.8069939475453934</x:v>
      </x:c>
      <x:c r="AS46" s="24" t="n">
        <x:f>IFERROR(Z46/X46*100,0)</x:f>
        <x:v>0.06724949562878278</x:v>
      </x:c>
      <x:c r="AT46" s="26" t="n">
        <x:v>19.2</x:v>
      </x:c>
      <x:c r="AU46" s="26" t="n">
        <x:v>4.7</x:v>
      </x:c>
      <x:c r="AV46" s="26" t="n">
        <x:v>-0.6</x:v>
      </x:c>
      <x:c r="AW46" s="26" t="n">
        <x:v>-13.4</x:v>
      </x:c>
      <x:c r="AX46" s="26" t="n">
        <x:v>-9.9</x:v>
      </x:c>
      <x:c r="AY46" s="26" t="n">
        <x:v>-14.8</x:v>
      </x:c>
      <x:c r="AZ46" s="26" t="n">
        <x:v>-30.9</x:v>
      </x:c>
      <x:c r="BA46" s="26" t="n">
        <x:v>166</x:v>
      </x:c>
      <x:c r="BB46" s="22" t="n">
        <x:f>IFERROR(AE46/Z46,0)</x:f>
        <x:v>34529</x:v>
      </x:c>
      <x:c r="BC46" s="17" t="n">
        <x:f>IF(OR(V46="out_of_stock",V46="critical_low_stock"),MAX(0,(14-U46)*T46),0)</x:f>
        <x:v>21</x:v>
      </x:c>
      <x:c r="BD46" s="22" t="n">
        <x:f>IFERROR(BC46*M46,0)</x:f>
        <x:v>725109</x:v>
      </x:c>
      <x:c r="BE46" s="17" t="str">
        <x:v>stock_sales_behavior</x:v>
      </x:c>
      <x:c r="BF46" s="17" t="str">
        <x:v>copied_from_uploaded_product2 + synthetic_stock</x:v>
      </x:c>
    </x:row>
    <x:row r="47">
      <x:c r="A47" s="17" t="n">
        <x:v>46</x:v>
      </x:c>
      <x:c r="B47" s="17" t="str">
        <x:v>PRODUCT_STOCK_BEHAVIOR</x:v>
      </x:c>
      <x:c r="C47" s="20" t="n">
        <x:v>46147</x:v>
      </x:c>
      <x:c r="D47" s="17" t="str">
        <x:v>App</x:v>
      </x:c>
      <x:c r="E47" s="17" t="str">
        <x:v>Desktop</x:v>
      </x:c>
      <x:c r="F47" s="17" t="str">
        <x:v>Search Organic Brand</x:v>
      </x:c>
      <x:c r="G47" s="17" t="n">
        <x:v>28</x:v>
      </x:c>
      <x:c r="H47" s="17" t="str">
        <x:v>SAMSUNG</x:v>
      </x:c>
      <x:c r="I47" s="17" t="str">
        <x:v>Telefon</x:v>
      </x:c>
      <x:c r="J47" s="17" t="str">
        <x:v>Cep Telefonları</x:v>
      </x:c>
      <x:c r="K47" s="17" t="str">
        <x:v>SAMSUNG Galaxy S25 FE 5G 8/256 GB Akıllı Telefon Buz Mavisi</x:v>
      </x:c>
      <x:c r="L47" s="17" t="str">
        <x:v>1249062</x:v>
      </x:c>
      <x:c r="M47" s="22" t="n">
        <x:v>33451</x:v>
      </x:c>
      <x:c r="N47" s="26" t="n">
        <x:v>14.2</x:v>
      </x:c>
      <x:c r="O47" s="22" t="n">
        <x:v>51</x:v>
      </x:c>
      <x:c r="P47" s="22" t="n">
        <x:v>63</x:v>
      </x:c>
      <x:c r="Q47" s="22" t="n">
        <x:v>0</x:v>
      </x:c>
      <x:c r="R47" s="17" t="n">
        <x:v>3</x:v>
      </x:c>
      <x:c r="S47" s="22" t="n">
        <x:v>11</x:v>
      </x:c>
      <x:c r="T47" s="24" t="n">
        <x:v>1.7</x:v>
      </x:c>
      <x:c r="U47" s="24" t="n">
        <x:f>IFERROR(O47/T47,0)</x:f>
        <x:v>30</x:v>
      </x:c>
      <x:c r="V47" s="17" t="str">
        <x:f>IF(O47&lt;=0,"out_of_stock",IF(U47&lt;7,"critical_low_stock",IF(U47&gt;60,"overstock","in_stock")))</x:f>
        <x:v>in_stock</x:v>
      </x:c>
      <x:c r="W47" s="17" t="str">
        <x:f>IF(O47&lt;=0,"OOS",IF(AND(U47&lt;7,AC47&gt;=0.5),"High Risk",IF(U47&lt;14,"Medium Risk",IF(U47&gt;60,"Overstock","Healthy"))))</x:f>
        <x:v>Healthy</x:v>
      </x:c>
      <x:c r="X47" s="22" t="n">
        <x:v>1464</x:v>
      </x:c>
      <x:c r="Y47" s="22" t="n">
        <x:v>52</x:v>
      </x:c>
      <x:c r="Z47" s="22" t="n">
        <x:v>0</x:v>
      </x:c>
      <x:c r="AA47" s="24" t="n">
        <x:f>IFERROR(Y47/X47*100,0)</x:f>
        <x:v>3.551912568306011</x:v>
      </x:c>
      <x:c r="AB47" s="26" t="n">
        <x:v>17.9</x:v>
      </x:c>
      <x:c r="AC47" s="24" t="n">
        <x:f>IFERROR(Z47/X47*100,0)</x:f>
        <x:v>0</x:v>
      </x:c>
      <x:c r="AD47" s="26" t="n">
        <x:v>166</x:v>
      </x:c>
      <x:c r="AE47" s="22" t="n">
        <x:f>IFERROR(Z47*M47,0)</x:f>
        <x:v>0</x:v>
      </x:c>
      <x:c r="AF47" s="26" t="n">
        <x:v>169.6</x:v>
      </x:c>
      <x:c r="AG47" s="24" t="n">
        <x:v>59</x:v>
      </x:c>
      <x:c r="AH47" s="26" t="n">
        <x:v>-1.5</x:v>
      </x:c>
      <x:c r="AI47" s="22" t="n">
        <x:v>47</x:v>
      </x:c>
      <x:c r="AJ47" s="22" t="n">
        <x:v>15</x:v>
      </x:c>
      <x:c r="AK47" s="22" t="n">
        <x:v>13</x:v>
      </x:c>
      <x:c r="AL47" s="22" t="n">
        <x:v>10</x:v>
      </x:c>
      <x:c r="AM47" s="22" t="n">
        <x:v>6</x:v>
      </x:c>
      <x:c r="AN47" s="24" t="n">
        <x:f>IFERROR(AI47/X47*100,0)</x:f>
        <x:v>3.210382513661202</x:v>
      </x:c>
      <x:c r="AO47" s="24" t="n">
        <x:f>IFERROR(AJ47/X47*100,0)</x:f>
        <x:v>1.0245901639344261</x:v>
      </x:c>
      <x:c r="AP47" s="24" t="n">
        <x:f>IFERROR(AK47/X47*100,0)</x:f>
        <x:v>0.8879781420765027</x:v>
      </x:c>
      <x:c r="AQ47" s="24" t="n">
        <x:f>IFERROR(AL47/X47*100,0)</x:f>
        <x:v>0.6830601092896175</x:v>
      </x:c>
      <x:c r="AR47" s="24" t="n">
        <x:f>IFERROR(AM47/X47*100,0)</x:f>
        <x:v>0.4098360655737705</x:v>
      </x:c>
      <x:c r="AS47" s="24" t="n">
        <x:f>IFERROR(Z47/X47*100,0)</x:f>
        <x:v>0</x:v>
      </x:c>
      <x:c r="AT47" s="26" t="n">
        <x:v>-4</x:v>
      </x:c>
      <x:c r="AU47" s="26" t="n">
        <x:v>15.8</x:v>
      </x:c>
      <x:c r="AV47" s="26" t="n">
        <x:v>9.2</x:v>
      </x:c>
      <x:c r="AW47" s="26" t="n">
        <x:v>-67.9</x:v>
      </x:c>
      <x:c r="AX47" s="26" t="n">
        <x:v>10.5</x:v>
      </x:c>
      <x:c r="AY47" s="26" t="n">
        <x:v>2.9</x:v>
      </x:c>
      <x:c r="AZ47" s="26" t="n">
        <x:v>-24.2</x:v>
      </x:c>
      <x:c r="BA47" s="26" t="n">
        <x:v>166</x:v>
      </x:c>
      <x:c r="BB47" s="22" t="n">
        <x:f>IFERROR(AE47/Z47,0)</x:f>
        <x:v>0</x:v>
      </x:c>
      <x:c r="BC47" s="17" t="n">
        <x:f>IF(OR(V47="out_of_stock",V47="critical_low_stock"),MAX(0,(14-U47)*T47),0)</x:f>
        <x:v>0</x:v>
      </x:c>
      <x:c r="BD47" s="22" t="n">
        <x:f>IFERROR(BC47*M47,0)</x:f>
        <x:v>0</x:v>
      </x:c>
      <x:c r="BE47" s="17" t="str">
        <x:v>stock_sales_behavior</x:v>
      </x:c>
      <x:c r="BF47" s="17" t="str">
        <x:v>copied_from_uploaded_product2 + synthetic_stock</x:v>
      </x:c>
    </x:row>
    <x:row r="48">
      <x:c r="A48" s="17" t="n">
        <x:v>47</x:v>
      </x:c>
      <x:c r="B48" s="17" t="str">
        <x:v>PRODUCT_STOCK_BEHAVIOR</x:v>
      </x:c>
      <x:c r="C48" s="20" t="n">
        <x:v>46148</x:v>
      </x:c>
      <x:c r="D48" s="17" t="str">
        <x:v>App</x:v>
      </x:c>
      <x:c r="E48" s="17" t="str">
        <x:v>Desktop</x:v>
      </x:c>
      <x:c r="F48" s="17" t="str">
        <x:v>Price Comparison</x:v>
      </x:c>
      <x:c r="G48" s="17" t="n">
        <x:v>99</x:v>
      </x:c>
      <x:c r="H48" s="17" t="str">
        <x:v>DAIKIN</x:v>
      </x:c>
      <x:c r="I48" s="17" t="str">
        <x:v>Other</x:v>
      </x:c>
      <x:c r="J48" s="17" t="str">
        <x:v>Other</x:v>
      </x:c>
      <x:c r="K48" s="17" t="str">
        <x:v>DAIKIN MC55W Hava Temizleme Cihazı</x:v>
      </x:c>
      <x:c r="L48" s="17" t="str">
        <x:v>1229763</x:v>
      </x:c>
      <x:c r="M48" s="22" t="n">
        <x:v>21108</x:v>
      </x:c>
      <x:c r="N48" s="26" t="n">
        <x:v>-13.6</x:v>
      </x:c>
      <x:c r="O48" s="22" t="n">
        <x:v>43</x:v>
      </x:c>
      <x:c r="P48" s="22" t="n">
        <x:v>52</x:v>
      </x:c>
      <x:c r="Q48" s="22" t="n">
        <x:v>0</x:v>
      </x:c>
      <x:c r="R48" s="17" t="n">
        <x:v>7</x:v>
      </x:c>
      <x:c r="S48" s="22" t="n">
        <x:v>14</x:v>
      </x:c>
      <x:c r="T48" s="24" t="n">
        <x:v>1.4</x:v>
      </x:c>
      <x:c r="U48" s="24" t="n">
        <x:f>IFERROR(O48/T48,0)</x:f>
        <x:v>30.714285714285715</x:v>
      </x:c>
      <x:c r="V48" s="17" t="str">
        <x:f>IF(O48&lt;=0,"out_of_stock",IF(U48&lt;7,"critical_low_stock",IF(U48&gt;60,"overstock","in_stock")))</x:f>
        <x:v>in_stock</x:v>
      </x:c>
      <x:c r="W48" s="17" t="str">
        <x:f>IF(O48&lt;=0,"OOS",IF(AND(U48&lt;7,AC48&gt;=0.5),"High Risk",IF(U48&lt;14,"Medium Risk",IF(U48&gt;60,"Overstock","Healthy"))))</x:f>
        <x:v>Healthy</x:v>
      </x:c>
      <x:c r="X48" s="22" t="n">
        <x:v>1462</x:v>
      </x:c>
      <x:c r="Y48" s="22" t="n">
        <x:v>20</x:v>
      </x:c>
      <x:c r="Z48" s="22" t="n">
        <x:v>2</x:v>
      </x:c>
      <x:c r="AA48" s="24" t="n">
        <x:f>IFERROR(Y48/X48*100,0)</x:f>
        <x:v>1.3679890560875512</x:v>
      </x:c>
      <x:c r="AB48" s="26" t="n">
        <x:v>-30</x:v>
      </x:c>
      <x:c r="AC48" s="24" t="n">
        <x:f>IFERROR(Z48/X48*100,0)</x:f>
        <x:v>0.13679890560875513</x:v>
      </x:c>
      <x:c r="AD48" s="26" t="n">
        <x:v>-55.8</x:v>
      </x:c>
      <x:c r="AE48" s="22" t="n">
        <x:f>IFERROR(Z48*M48,0)</x:f>
        <x:v>42216</x:v>
      </x:c>
      <x:c r="AF48" s="26" t="n">
        <x:v>-60.2</x:v>
      </x:c>
      <x:c r="AG48" s="24" t="n">
        <x:v>89</x:v>
      </x:c>
      <x:c r="AH48" s="26" t="n">
        <x:v>1.2</x:v>
      </x:c>
      <x:c r="AI48" s="22" t="n">
        <x:v>18</x:v>
      </x:c>
      <x:c r="AJ48" s="22" t="n">
        <x:v>9</x:v>
      </x:c>
      <x:c r="AK48" s="22" t="n">
        <x:v>6</x:v>
      </x:c>
      <x:c r="AL48" s="22" t="n">
        <x:v>5</x:v>
      </x:c>
      <x:c r="AM48" s="22" t="n">
        <x:v>2</x:v>
      </x:c>
      <x:c r="AN48" s="24" t="n">
        <x:f>IFERROR(AI48/X48*100,0)</x:f>
        <x:v>1.231190150478796</x:v>
      </x:c>
      <x:c r="AO48" s="24" t="n">
        <x:f>IFERROR(AJ48/X48*100,0)</x:f>
        <x:v>0.615595075239398</x:v>
      </x:c>
      <x:c r="AP48" s="24" t="n">
        <x:f>IFERROR(AK48/X48*100,0)</x:f>
        <x:v>0.4103967168262654</x:v>
      </x:c>
      <x:c r="AQ48" s="24" t="n">
        <x:f>IFERROR(AL48/X48*100,0)</x:f>
        <x:v>0.3419972640218878</x:v>
      </x:c>
      <x:c r="AR48" s="24" t="n">
        <x:f>IFERROR(AM48/X48*100,0)</x:f>
        <x:v>0.13679890560875513</x:v>
      </x:c>
      <x:c r="AS48" s="24" t="n">
        <x:f>IFERROR(Z48/X48*100,0)</x:f>
        <x:v>0.13679890560875513</x:v>
      </x:c>
      <x:c r="AT48" s="26" t="n">
        <x:v>-10.5</x:v>
      </x:c>
      <x:c r="AU48" s="26" t="n">
        <x:v>-56</x:v>
      </x:c>
      <x:c r="AV48" s="26" t="n">
        <x:v>-52.2</x:v>
      </x:c>
      <x:c r="AW48" s="26" t="n">
        <x:v>-33.9</x:v>
      </x:c>
      <x:c r="AX48" s="26" t="n">
        <x:v>-9.4</x:v>
      </x:c>
      <x:c r="AY48" s="26" t="n">
        <x:v>20</x:v>
      </x:c>
      <x:c r="AZ48" s="26" t="n">
        <x:v>3.4</x:v>
      </x:c>
      <x:c r="BA48" s="26" t="n">
        <x:v>-60</x:v>
      </x:c>
      <x:c r="BB48" s="22" t="n">
        <x:f>IFERROR(AE48/Z48,0)</x:f>
        <x:v>21108</x:v>
      </x:c>
      <x:c r="BC48" s="17" t="n">
        <x:f>IF(OR(V48="out_of_stock",V48="critical_low_stock"),MAX(0,(14-U48)*T48),0)</x:f>
        <x:v>0</x:v>
      </x:c>
      <x:c r="BD48" s="22" t="n">
        <x:f>IFERROR(BC48*M48,0)</x:f>
        <x:v>0</x:v>
      </x:c>
      <x:c r="BE48" s="17" t="str">
        <x:v>stock_sales_behavior</x:v>
      </x:c>
      <x:c r="BF48" s="17" t="str">
        <x:v>copied_from_uploaded_product2 + synthetic_stock</x:v>
      </x:c>
    </x:row>
    <x:row r="49">
      <x:c r="A49" s="17" t="n">
        <x:v>48</x:v>
      </x:c>
      <x:c r="B49" s="17" t="str">
        <x:v>PRODUCT_STOCK_BEHAVIOR</x:v>
      </x:c>
      <x:c r="C49" s="20" t="n">
        <x:v>46149</x:v>
      </x:c>
      <x:c r="D49" s="17" t="str">
        <x:v>App</x:v>
      </x:c>
      <x:c r="E49" s="17" t="str">
        <x:v>Desktop</x:v>
      </x:c>
      <x:c r="F49" s="17" t="str">
        <x:v>Social Paid</x:v>
      </x:c>
      <x:c r="G49" s="17" t="n">
        <x:v>99</x:v>
      </x:c>
      <x:c r="H49" s="17" t="str">
        <x:v>PHILIPS</x:v>
      </x:c>
      <x:c r="I49" s="17" t="str">
        <x:v>Other</x:v>
      </x:c>
      <x:c r="J49" s="17" t="str">
        <x:v>Other</x:v>
      </x:c>
      <x:c r="K49" s="17" t="str">
        <x:v>PHILIPS Azur DST8050/20 Buharlı Ütü Mavi</x:v>
      </x:c>
      <x:c r="L49" s="17" t="str">
        <x:v>1224990</x:v>
      </x:c>
      <x:c r="M49" s="22" t="n">
        <x:v>5494</x:v>
      </x:c>
      <x:c r="N49" s="26" t="n">
        <x:v>-9.3</x:v>
      </x:c>
      <x:c r="O49" s="22" t="n">
        <x:v>11</x:v>
      </x:c>
      <x:c r="P49" s="22" t="n">
        <x:v>14</x:v>
      </x:c>
      <x:c r="Q49" s="22" t="n">
        <x:v>126</x:v>
      </x:c>
      <x:c r="R49" s="17" t="n">
        <x:v>14</x:v>
      </x:c>
      <x:c r="S49" s="22" t="n">
        <x:v>57</x:v>
      </x:c>
      <x:c r="T49" s="24" t="n">
        <x:v>3.3</x:v>
      </x:c>
      <x:c r="U49" s="24" t="n">
        <x:f>IFERROR(O49/T49,0)</x:f>
        <x:v>3.3333333333333335</x:v>
      </x:c>
      <x:c r="V49" s="17" t="str">
        <x:f>IF(O49&lt;=0,"out_of_stock",IF(U49&lt;7,"critical_low_stock",IF(U49&gt;60,"overstock","in_stock")))</x:f>
        <x:v>critical_low_stock</x:v>
      </x:c>
      <x:c r="W49" s="17" t="str">
        <x:f>IF(O49&lt;=0,"OOS",IF(AND(U49&lt;7,AC49&gt;=0.5),"High Risk",IF(U49&lt;14,"Medium Risk",IF(U49&gt;60,"Overstock","Healthy"))))</x:f>
        <x:v>High Risk</x:v>
      </x:c>
      <x:c r="X49" s="22" t="n">
        <x:v>1460</x:v>
      </x:c>
      <x:c r="Y49" s="22" t="n">
        <x:v>118</x:v>
      </x:c>
      <x:c r="Z49" s="22" t="n">
        <x:v>13</x:v>
      </x:c>
      <x:c r="AA49" s="24" t="n">
        <x:f>IFERROR(Y49/X49*100,0)</x:f>
        <x:v>8.082191780821917</x:v>
      </x:c>
      <x:c r="AB49" s="26" t="n">
        <x:v>39.8</x:v>
      </x:c>
      <x:c r="AC49" s="24" t="n">
        <x:f>IFERROR(Z49/X49*100,0)</x:f>
        <x:v>0.8904109589041096</x:v>
      </x:c>
      <x:c r="AD49" s="26" t="n">
        <x:v>24.6</x:v>
      </x:c>
      <x:c r="AE49" s="22" t="n">
        <x:f>IFERROR(Z49*M49,0)</x:f>
        <x:v>71422</x:v>
      </x:c>
      <x:c r="AF49" s="26" t="n">
        <x:v>45.9</x:v>
      </x:c>
      <x:c r="AG49" s="24" t="n">
        <x:v>68</x:v>
      </x:c>
      <x:c r="AH49" s="26" t="n">
        <x:v>-3.2</x:v>
      </x:c>
      <x:c r="AI49" s="22" t="n">
        <x:v>84</x:v>
      </x:c>
      <x:c r="AJ49" s="22" t="n">
        <x:v>26</x:v>
      </x:c>
      <x:c r="AK49" s="22" t="n">
        <x:v>23</x:v>
      </x:c>
      <x:c r="AL49" s="22" t="n">
        <x:v>21</x:v>
      </x:c>
      <x:c r="AM49" s="22" t="n">
        <x:v>19</x:v>
      </x:c>
      <x:c r="AN49" s="24" t="n">
        <x:f>IFERROR(AI49/X49*100,0)</x:f>
        <x:v>5.7534246575342465</x:v>
      </x:c>
      <x:c r="AO49" s="24" t="n">
        <x:f>IFERROR(AJ49/X49*100,0)</x:f>
        <x:v>1.7808219178082192</x:v>
      </x:c>
      <x:c r="AP49" s="24" t="n">
        <x:f>IFERROR(AK49/X49*100,0)</x:f>
        <x:v>1.5753424657534247</x:v>
      </x:c>
      <x:c r="AQ49" s="24" t="n">
        <x:f>IFERROR(AL49/X49*100,0)</x:f>
        <x:v>1.4383561643835616</x:v>
      </x:c>
      <x:c r="AR49" s="24" t="n">
        <x:f>IFERROR(AM49/X49*100,0)</x:f>
        <x:v>1.3013698630136987</x:v>
      </x:c>
      <x:c r="AS49" s="24" t="n">
        <x:f>IFERROR(Z49/X49*100,0)</x:f>
        <x:v>0.8904109589041096</x:v>
      </x:c>
      <x:c r="AT49" s="26" t="n">
        <x:v>15.5</x:v>
      </x:c>
      <x:c r="AU49" s="26" t="n">
        <x:v>53</x:v>
      </x:c>
      <x:c r="AV49" s="26" t="n">
        <x:v>58.5</x:v>
      </x:c>
      <x:c r="AW49" s="26" t="n">
        <x:v>-54.3</x:v>
      </x:c>
      <x:c r="AX49" s="26" t="n">
        <x:v>8.1</x:v>
      </x:c>
      <x:c r="AY49" s="26" t="n">
        <x:v>-15.1</x:v>
      </x:c>
      <x:c r="AZ49" s="26" t="n">
        <x:v>-26.4</x:v>
      </x:c>
      <x:c r="BA49" s="26" t="n">
        <x:v>42.9</x:v>
      </x:c>
      <x:c r="BB49" s="22" t="n">
        <x:f>IFERROR(AE49/Z49,0)</x:f>
        <x:v>5494</x:v>
      </x:c>
      <x:c r="BC49" s="17" t="n">
        <x:f>IF(OR(V49="out_of_stock",V49="critical_low_stock"),MAX(0,(14-U49)*T49),0)</x:f>
        <x:v>35.199999999999996</x:v>
      </x:c>
      <x:c r="BD49" s="22" t="n">
        <x:f>IFERROR(BC49*M49,0)</x:f>
        <x:v>193388.8</x:v>
      </x:c>
      <x:c r="BE49" s="17" t="str">
        <x:v>stock_sales_behavior</x:v>
      </x:c>
      <x:c r="BF49" s="17" t="str">
        <x:v>copied_from_uploaded_product2 + synthetic_stock</x:v>
      </x:c>
    </x:row>
    <x:row r="50">
      <x:c r="A50" s="17" t="n">
        <x:v>49</x:v>
      </x:c>
      <x:c r="B50" s="17" t="str">
        <x:v>PRODUCT_STOCK_BEHAVIOR</x:v>
      </x:c>
      <x:c r="C50" s="20" t="n">
        <x:v>46150</x:v>
      </x:c>
      <x:c r="D50" s="17" t="str">
        <x:v>Web</x:v>
      </x:c>
      <x:c r="E50" s="17" t="str">
        <x:v>Mobile</x:v>
      </x:c>
      <x:c r="F50" s="17" t="str">
        <x:v>Social Paid</x:v>
      </x:c>
      <x:c r="G50" s="17" t="n">
        <x:v>28</x:v>
      </x:c>
      <x:c r="H50" s="17" t="str">
        <x:v>SAMSUNG</x:v>
      </x:c>
      <x:c r="I50" s="17" t="str">
        <x:v>Telefon</x:v>
      </x:c>
      <x:c r="J50" s="17" t="str">
        <x:v>Cep Telefonları</x:v>
      </x:c>
      <x:c r="K50" s="17" t="str">
        <x:v>SAMSUNG Galaxy S25 Ultra 5G 12/256GB Akıllı Telefon Titanyum Siyah</x:v>
      </x:c>
      <x:c r="L50" s="17" t="str">
        <x:v>1245636</x:v>
      </x:c>
      <x:c r="M50" s="22" t="n">
        <x:v>76212</x:v>
      </x:c>
      <x:c r="N50" s="26" t="n">
        <x:v>10.5</x:v>
      </x:c>
      <x:c r="O50" s="22" t="n">
        <x:v>73</x:v>
      </x:c>
      <x:c r="P50" s="22" t="n">
        <x:v>30</x:v>
      </x:c>
      <x:c r="Q50" s="22" t="n">
        <x:v>0</x:v>
      </x:c>
      <x:c r="R50" s="17" t="n">
        <x:v>21</x:v>
      </x:c>
      <x:c r="S50" s="22" t="n">
        <x:v>44</x:v>
      </x:c>
      <x:c r="T50" s="24" t="n">
        <x:v>1.8</x:v>
      </x:c>
      <x:c r="U50" s="24" t="n">
        <x:f>IFERROR(O50/T50,0)</x:f>
        <x:v>40.55555555555556</x:v>
      </x:c>
      <x:c r="V50" s="17" t="str">
        <x:f>IF(O50&lt;=0,"out_of_stock",IF(U50&lt;7,"critical_low_stock",IF(U50&gt;60,"overstock","in_stock")))</x:f>
        <x:v>in_stock</x:v>
      </x:c>
      <x:c r="W50" s="17" t="str">
        <x:f>IF(O50&lt;=0,"OOS",IF(AND(U50&lt;7,AC50&gt;=0.5),"High Risk",IF(U50&lt;14,"Medium Risk",IF(U50&gt;60,"Overstock","Healthy"))))</x:f>
        <x:v>Healthy</x:v>
      </x:c>
      <x:c r="X50" s="22" t="n">
        <x:v>1459</x:v>
      </x:c>
      <x:c r="Y50" s="22" t="n">
        <x:v>120</x:v>
      </x:c>
      <x:c r="Z50" s="22" t="n">
        <x:v>0</x:v>
      </x:c>
      <x:c r="AA50" s="24" t="n">
        <x:f>IFERROR(Y50/X50*100,0)</x:f>
        <x:v>8.224811514736121</x:v>
      </x:c>
      <x:c r="AB50" s="26" t="n">
        <x:v>21.9</x:v>
      </x:c>
      <x:c r="AC50" s="24" t="n">
        <x:f>IFERROR(Z50/X50*100,0)</x:f>
        <x:v>0</x:v>
      </x:c>
      <x:c r="AD50" s="26" t="n">
        <x:v>-100</x:v>
      </x:c>
      <x:c r="AE50" s="22" t="n">
        <x:f>IFERROR(Z50*M50,0)</x:f>
        <x:v>0</x:v>
      </x:c>
      <x:c r="AF50" s="26" t="n">
        <x:v>-93.6</x:v>
      </x:c>
      <x:c r="AG50" s="24" t="n">
        <x:v>52</x:v>
      </x:c>
      <x:c r="AH50" s="26" t="n">
        <x:v>-4.8</x:v>
      </x:c>
      <x:c r="AI50" s="22" t="n">
        <x:v>71</x:v>
      </x:c>
      <x:c r="AJ50" s="22" t="n">
        <x:v>41</x:v>
      </x:c>
      <x:c r="AK50" s="22" t="n">
        <x:v>21</x:v>
      </x:c>
      <x:c r="AL50" s="22" t="n">
        <x:v>19</x:v>
      </x:c>
      <x:c r="AM50" s="22" t="n">
        <x:v>8</x:v>
      </x:c>
      <x:c r="AN50" s="24" t="n">
        <x:f>IFERROR(AI50/X50*100,0)</x:f>
        <x:v>4.866346812885538</x:v>
      </x:c>
      <x:c r="AO50" s="24" t="n">
        <x:f>IFERROR(AJ50/X50*100,0)</x:f>
        <x:v>2.8101439342015078</x:v>
      </x:c>
      <x:c r="AP50" s="24" t="n">
        <x:f>IFERROR(AK50/X50*100,0)</x:f>
        <x:v>1.439342015078821</x:v>
      </x:c>
      <x:c r="AQ50" s="24" t="n">
        <x:f>IFERROR(AL50/X50*100,0)</x:f>
        <x:v>1.3022618231665526</x:v>
      </x:c>
      <x:c r="AR50" s="24" t="n">
        <x:f>IFERROR(AM50/X50*100,0)</x:f>
        <x:v>0.5483207676490748</x:v>
      </x:c>
      <x:c r="AS50" s="24" t="n">
        <x:f>IFERROR(Z50/X50*100,0)</x:f>
        <x:v>0</x:v>
      </x:c>
      <x:c r="AT50" s="26" t="n">
        <x:v>-10.8</x:v>
      </x:c>
      <x:c r="AU50" s="26" t="n">
        <x:v>0</x:v>
      </x:c>
      <x:c r="AV50" s="26" t="n">
        <x:v>-3.5</x:v>
      </x:c>
      <x:c r="AW50" s="26" t="n">
        <x:v>-37.6</x:v>
      </x:c>
      <x:c r="AX50" s="26" t="n">
        <x:v>-13</x:v>
      </x:c>
      <x:c r="AY50" s="26" t="n">
        <x:v>10.4</x:v>
      </x:c>
      <x:c r="AZ50" s="26" t="n">
        <x:v>4.4</x:v>
      </x:c>
      <x:c r="BA50" s="26" t="n">
        <x:v>-100</x:v>
      </x:c>
      <x:c r="BB50" s="22" t="n">
        <x:f>IFERROR(AE50/Z50,0)</x:f>
        <x:v>0</x:v>
      </x:c>
      <x:c r="BC50" s="17" t="n">
        <x:f>IF(OR(V50="out_of_stock",V50="critical_low_stock"),MAX(0,(14-U50)*T50),0)</x:f>
        <x:v>0</x:v>
      </x:c>
      <x:c r="BD50" s="22" t="n">
        <x:f>IFERROR(BC50*M50,0)</x:f>
        <x:v>0</x:v>
      </x:c>
      <x:c r="BE50" s="17" t="str">
        <x:v>stock_sales_behavior</x:v>
      </x:c>
      <x:c r="BF50" s="17" t="str">
        <x:v>copied_from_uploaded_product2 + synthetic_stock</x:v>
      </x:c>
    </x:row>
    <x:row r="51">
      <x:c r="A51" s="17" t="n">
        <x:v>50</x:v>
      </x:c>
      <x:c r="B51" s="17" t="str">
        <x:v>PRODUCT_STOCK_BEHAVIOR</x:v>
      </x:c>
      <x:c r="C51" s="20" t="n">
        <x:v>46151</x:v>
      </x:c>
      <x:c r="D51" s="17" t="str">
        <x:v>Web</x:v>
      </x:c>
      <x:c r="E51" s="17" t="str">
        <x:v>Mobile</x:v>
      </x:c>
      <x:c r="F51" s="17" t="str">
        <x:v>Price Comparison</x:v>
      </x:c>
      <x:c r="G51" s="17" t="n">
        <x:v>28</x:v>
      </x:c>
      <x:c r="H51" s="17" t="str">
        <x:v>SAMSUNG</x:v>
      </x:c>
      <x:c r="I51" s="17" t="str">
        <x:v>Telefon</x:v>
      </x:c>
      <x:c r="J51" s="17" t="str">
        <x:v>Cep Telefonları</x:v>
      </x:c>
      <x:c r="K51" s="17" t="str">
        <x:v>SAMSUNG Galaxy S25 Ultra 5G 12/512GB Akıllı Telefon Titanyum Siyah</x:v>
      </x:c>
      <x:c r="L51" s="17" t="str">
        <x:v>1243753</x:v>
      </x:c>
      <x:c r="M51" s="22" t="n">
        <x:v>79988</x:v>
      </x:c>
      <x:c r="N51" s="26" t="n">
        <x:v>3.9</x:v>
      </x:c>
      <x:c r="O51" s="22" t="n">
        <x:v>47</x:v>
      </x:c>
      <x:c r="P51" s="22" t="n">
        <x:v>68</x:v>
      </x:c>
      <x:c r="Q51" s="22" t="n">
        <x:v>0</x:v>
      </x:c>
      <x:c r="R51" s="17" t="n">
        <x:v>5</x:v>
      </x:c>
      <x:c r="S51" s="22" t="n">
        <x:v>18</x:v>
      </x:c>
      <x:c r="T51" s="24" t="n">
        <x:v>2.2</x:v>
      </x:c>
      <x:c r="U51" s="24" t="n">
        <x:f>IFERROR(O51/T51,0)</x:f>
        <x:v>21.363636363636363</x:v>
      </x:c>
      <x:c r="V51" s="17" t="str">
        <x:f>IF(O51&lt;=0,"out_of_stock",IF(U51&lt;7,"critical_low_stock",IF(U51&gt;60,"overstock","in_stock")))</x:f>
        <x:v>in_stock</x:v>
      </x:c>
      <x:c r="W51" s="17" t="str">
        <x:f>IF(O51&lt;=0,"OOS",IF(AND(U51&lt;7,AC51&gt;=0.5),"High Risk",IF(U51&lt;14,"Medium Risk",IF(U51&gt;60,"Overstock","Healthy"))))</x:f>
        <x:v>Healthy</x:v>
      </x:c>
      <x:c r="X51" s="22" t="n">
        <x:v>1439</x:v>
      </x:c>
      <x:c r="Y51" s="22" t="n">
        <x:v>34</x:v>
      </x:c>
      <x:c r="Z51" s="22" t="n">
        <x:v>0</x:v>
      </x:c>
      <x:c r="AA51" s="24" t="n">
        <x:f>IFERROR(Y51/X51*100,0)</x:f>
        <x:v>2.36275191104934</x:v>
      </x:c>
      <x:c r="AB51" s="26" t="n">
        <x:v>-7</x:v>
      </x:c>
      <x:c r="AC51" s="24" t="n">
        <x:f>IFERROR(Z51/X51*100,0)</x:f>
        <x:v>0</x:v>
      </x:c>
      <x:c r="AD51" s="26" t="n">
        <x:v>166</x:v>
      </x:c>
      <x:c r="AE51" s="22" t="n">
        <x:f>IFERROR(Z51*M51,0)</x:f>
        <x:v>0</x:v>
      </x:c>
      <x:c r="AF51" s="26" t="n">
        <x:v>183.8</x:v>
      </x:c>
      <x:c r="AG51" s="24" t="n">
        <x:v>54</x:v>
      </x:c>
      <x:c r="AH51" s="26" t="n">
        <x:v>24.5</x:v>
      </x:c>
      <x:c r="AI51" s="22" t="n">
        <x:v>25</x:v>
      </x:c>
      <x:c r="AJ51" s="22" t="n">
        <x:v>17</x:v>
      </x:c>
      <x:c r="AK51" s="22" t="n">
        <x:v>14</x:v>
      </x:c>
      <x:c r="AL51" s="22" t="n">
        <x:v>11</x:v>
      </x:c>
      <x:c r="AM51" s="22" t="n">
        <x:v>5</x:v>
      </x:c>
      <x:c r="AN51" s="24" t="n">
        <x:f>IFERROR(AI51/X51*100,0)</x:f>
        <x:v>1.7373175816539264</x:v>
      </x:c>
      <x:c r="AO51" s="24" t="n">
        <x:f>IFERROR(AJ51/X51*100,0)</x:f>
        <x:v>1.18137595552467</x:v>
      </x:c>
      <x:c r="AP51" s="24" t="n">
        <x:f>IFERROR(AK51/X51*100,0)</x:f>
        <x:v>0.9728978457261988</x:v>
      </x:c>
      <x:c r="AQ51" s="24" t="n">
        <x:f>IFERROR(AL51/X51*100,0)</x:f>
        <x:v>0.7644197359277276</x:v>
      </x:c>
      <x:c r="AR51" s="24" t="n">
        <x:f>IFERROR(AM51/X51*100,0)</x:f>
        <x:v>0.34746351633078526</x:v>
      </x:c>
      <x:c r="AS51" s="24" t="n">
        <x:f>IFERROR(Z51/X51*100,0)</x:f>
        <x:v>0</x:v>
      </x:c>
      <x:c r="AT51" s="26" t="n">
        <x:v>23.5</x:v>
      </x:c>
      <x:c r="AU51" s="26" t="n">
        <x:v>3.7</x:v>
      </x:c>
      <x:c r="AV51" s="26" t="n">
        <x:v>13</x:v>
      </x:c>
      <x:c r="AW51" s="26" t="n">
        <x:v>-2.6</x:v>
      </x:c>
      <x:c r="AX51" s="26" t="n">
        <x:v>-7.2</x:v>
      </x:c>
      <x:c r="AY51" s="26" t="n">
        <x:v>10.6</x:v>
      </x:c>
      <x:c r="AZ51" s="26" t="n">
        <x:v>-34.4</x:v>
      </x:c>
      <x:c r="BA51" s="26" t="n">
        <x:v>166</x:v>
      </x:c>
      <x:c r="BB51" s="22" t="n">
        <x:f>IFERROR(AE51/Z51,0)</x:f>
        <x:v>0</x:v>
      </x:c>
      <x:c r="BC51" s="17" t="n">
        <x:f>IF(OR(V51="out_of_stock",V51="critical_low_stock"),MAX(0,(14-U51)*T51),0)</x:f>
        <x:v>0</x:v>
      </x:c>
      <x:c r="BD51" s="22" t="n">
        <x:f>IFERROR(BC51*M51,0)</x:f>
        <x:v>0</x:v>
      </x:c>
      <x:c r="BE51" s="17" t="str">
        <x:v>stock_sales_behavior</x:v>
      </x:c>
      <x:c r="BF51" s="17" t="str">
        <x:v>copied_from_uploaded_product2 + synthetic_stock</x:v>
      </x:c>
    </x:row>
    <x:row r="52">
      <x:c r="A52" s="17" t="n">
        <x:v>51</x:v>
      </x:c>
      <x:c r="B52" s="17" t="str">
        <x:v>PRODUCT_STOCK_BEHAVIOR</x:v>
      </x:c>
      <x:c r="C52" s="20" t="n">
        <x:v>46152</x:v>
      </x:c>
      <x:c r="D52" s="17" t="str">
        <x:v>App</x:v>
      </x:c>
      <x:c r="E52" s="17" t="str">
        <x:v>Desktop</x:v>
      </x:c>
      <x:c r="F52" s="17" t="str">
        <x:v>Search Organic Generic</x:v>
      </x:c>
      <x:c r="G52" s="17" t="n">
        <x:v>21</x:v>
      </x:c>
      <x:c r="H52" s="17" t="str">
        <x:v>DJI</x:v>
      </x:c>
      <x:c r="I52" s="17" t="str">
        <x:v>Foto &amp; Kamera &amp; Drone</x:v>
      </x:c>
      <x:c r="J52" s="17" t="str">
        <x:v>Drone</x:v>
      </x:c>
      <x:c r="K52" s="17" t="str">
        <x:v>DJI Mini 5 Pro Fly More Combo Plus (DJI RC2) Drone</x:v>
      </x:c>
      <x:c r="L52" s="17" t="str">
        <x:v>1249772</x:v>
      </x:c>
      <x:c r="M52" s="22" t="n">
        <x:v>19582</x:v>
      </x:c>
      <x:c r="N52" s="26" t="n">
        <x:v>-14.4</x:v>
      </x:c>
      <x:c r="O52" s="22" t="n">
        <x:v>48</x:v>
      </x:c>
      <x:c r="P52" s="22" t="n">
        <x:v>52</x:v>
      </x:c>
      <x:c r="Q52" s="22" t="n">
        <x:v>0</x:v>
      </x:c>
      <x:c r="R52" s="17" t="n">
        <x:v>21</x:v>
      </x:c>
      <x:c r="S52" s="22" t="n">
        <x:v>29</x:v>
      </x:c>
      <x:c r="T52" s="24" t="n">
        <x:v>1.2</x:v>
      </x:c>
      <x:c r="U52" s="24" t="n">
        <x:f>IFERROR(O52/T52,0)</x:f>
        <x:v>40</x:v>
      </x:c>
      <x:c r="V52" s="17" t="str">
        <x:f>IF(O52&lt;=0,"out_of_stock",IF(U52&lt;7,"critical_low_stock",IF(U52&gt;60,"overstock","in_stock")))</x:f>
        <x:v>in_stock</x:v>
      </x:c>
      <x:c r="W52" s="17" t="str">
        <x:f>IF(O52&lt;=0,"OOS",IF(AND(U52&lt;7,AC52&gt;=0.5),"High Risk",IF(U52&lt;14,"Medium Risk",IF(U52&gt;60,"Overstock","Healthy"))))</x:f>
        <x:v>Healthy</x:v>
      </x:c>
      <x:c r="X52" s="22" t="n">
        <x:v>1426</x:v>
      </x:c>
      <x:c r="Y52" s="22" t="n">
        <x:v>60</x:v>
      </x:c>
      <x:c r="Z52" s="22" t="n">
        <x:v>2</x:v>
      </x:c>
      <x:c r="AA52" s="24" t="n">
        <x:f>IFERROR(Y52/X52*100,0)</x:f>
        <x:v>4.207573632538569</x:v>
      </x:c>
      <x:c r="AB52" s="26" t="n">
        <x:v>-27</x:v>
      </x:c>
      <x:c r="AC52" s="24" t="n">
        <x:f>IFERROR(Z52/X52*100,0)</x:f>
        <x:v>0.1402524544179523</x:v>
      </x:c>
      <x:c r="AD52" s="26" t="n">
        <x:v>-51.7</x:v>
      </x:c>
      <x:c r="AE52" s="22" t="n">
        <x:f>IFERROR(Z52*M52,0)</x:f>
        <x:v>39164</x:v>
      </x:c>
      <x:c r="AF52" s="26" t="n">
        <x:v>-42.9</x:v>
      </x:c>
      <x:c r="AG52" s="24" t="n">
        <x:v>74</x:v>
      </x:c>
      <x:c r="AH52" s="26" t="n">
        <x:v>15.4</x:v>
      </x:c>
      <x:c r="AI52" s="22" t="n">
        <x:v>53</x:v>
      </x:c>
      <x:c r="AJ52" s="22" t="n">
        <x:v>38</x:v>
      </x:c>
      <x:c r="AK52" s="22" t="n">
        <x:v>21</x:v>
      </x:c>
      <x:c r="AL52" s="22" t="n">
        <x:v>15</x:v>
      </x:c>
      <x:c r="AM52" s="22" t="n">
        <x:v>6</x:v>
      </x:c>
      <x:c r="AN52" s="24" t="n">
        <x:f>IFERROR(AI52/X52*100,0)</x:f>
        <x:v>3.716690042075736</x:v>
      </x:c>
      <x:c r="AO52" s="24" t="n">
        <x:f>IFERROR(AJ52/X52*100,0)</x:f>
        <x:v>2.664796633941094</x:v>
      </x:c>
      <x:c r="AP52" s="24" t="n">
        <x:f>IFERROR(AK52/X52*100,0)</x:f>
        <x:v>1.4726507713884993</x:v>
      </x:c>
      <x:c r="AQ52" s="24" t="n">
        <x:f>IFERROR(AL52/X52*100,0)</x:f>
        <x:v>1.0518934081346423</x:v>
      </x:c>
      <x:c r="AR52" s="24" t="n">
        <x:f>IFERROR(AM52/X52*100,0)</x:f>
        <x:v>0.42075736325385693</x:v>
      </x:c>
      <x:c r="AS52" s="24" t="n">
        <x:f>IFERROR(Z52/X52*100,0)</x:f>
        <x:v>0.1402524544179523</x:v>
      </x:c>
      <x:c r="AT52" s="26" t="n">
        <x:v>20.7</x:v>
      </x:c>
      <x:c r="AU52" s="26" t="n">
        <x:v>-6.8</x:v>
      </x:c>
      <x:c r="AV52" s="26" t="n">
        <x:v>-3.8</x:v>
      </x:c>
      <x:c r="AW52" s="26" t="n">
        <x:v>-17.8</x:v>
      </x:c>
      <x:c r="AX52" s="26" t="n">
        <x:v>-3.8</x:v>
      </x:c>
      <x:c r="AY52" s="26" t="n">
        <x:v>6.5</x:v>
      </x:c>
      <x:c r="AZ52" s="26" t="n">
        <x:v>-5.8</x:v>
      </x:c>
      <x:c r="BA52" s="26" t="n">
        <x:v>-40</x:v>
      </x:c>
      <x:c r="BB52" s="22" t="n">
        <x:f>IFERROR(AE52/Z52,0)</x:f>
        <x:v>19582</x:v>
      </x:c>
      <x:c r="BC52" s="17" t="n">
        <x:f>IF(OR(V52="out_of_stock",V52="critical_low_stock"),MAX(0,(14-U52)*T52),0)</x:f>
        <x:v>0</x:v>
      </x:c>
      <x:c r="BD52" s="22" t="n">
        <x:f>IFERROR(BC52*M52,0)</x:f>
        <x:v>0</x:v>
      </x:c>
      <x:c r="BE52" s="17" t="str">
        <x:v>stock_sales_behavior</x:v>
      </x:c>
      <x:c r="BF52" s="17" t="str">
        <x:v>copied_from_uploaded_product2 + synthetic_stock</x:v>
      </x:c>
    </x:row>
    <x:row r="53">
      <x:c r="A53" s="17" t="n">
        <x:v>52</x:v>
      </x:c>
      <x:c r="B53" s="17" t="str">
        <x:v>PRODUCT_STOCK_BEHAVIOR</x:v>
      </x:c>
      <x:c r="C53" s="20" t="n">
        <x:v>46153</x:v>
      </x:c>
      <x:c r="D53" s="17" t="str">
        <x:v>App</x:v>
      </x:c>
      <x:c r="E53" s="17" t="str">
        <x:v>Desktop</x:v>
      </x:c>
      <x:c r="F53" s="17" t="str">
        <x:v>Search Organic Brand</x:v>
      </x:c>
      <x:c r="G53" s="17" t="n">
        <x:v>99</x:v>
      </x:c>
      <x:c r="H53" s="17" t="str">
        <x:v>ONVO</x:v>
      </x:c>
      <x:c r="I53" s="17" t="str">
        <x:v>Other</x:v>
      </x:c>
      <x:c r="J53" s="17" t="str">
        <x:v>Other</x:v>
      </x:c>
      <x:c r="K53" s="17" t="str">
        <x:v>ONVO OV-012 800 W 45 Km Menzil Elektikli Scooter Siyah</x:v>
      </x:c>
      <x:c r="L53" s="17" t="str">
        <x:v>1220523</x:v>
      </x:c>
      <x:c r="M53" s="22" t="n">
        <x:v>5823</x:v>
      </x:c>
      <x:c r="N53" s="26" t="n">
        <x:v>-13.7</x:v>
      </x:c>
      <x:c r="O53" s="22" t="n">
        <x:v>148</x:v>
      </x:c>
      <x:c r="P53" s="22" t="n">
        <x:v>55</x:v>
      </x:c>
      <x:c r="Q53" s="22" t="n">
        <x:v>0</x:v>
      </x:c>
      <x:c r="R53" s="17" t="n">
        <x:v>7</x:v>
      </x:c>
      <x:c r="S53" s="22" t="n">
        <x:v>27</x:v>
      </x:c>
      <x:c r="T53" s="24" t="n">
        <x:v>2.7</x:v>
      </x:c>
      <x:c r="U53" s="24" t="n">
        <x:f>IFERROR(O53/T53,0)</x:f>
        <x:v>54.81481481481481</x:v>
      </x:c>
      <x:c r="V53" s="17" t="str">
        <x:f>IF(O53&lt;=0,"out_of_stock",IF(U53&lt;7,"critical_low_stock",IF(U53&gt;60,"overstock","in_stock")))</x:f>
        <x:v>in_stock</x:v>
      </x:c>
      <x:c r="W53" s="17" t="str">
        <x:f>IF(O53&lt;=0,"OOS",IF(AND(U53&lt;7,AC53&gt;=0.5),"High Risk",IF(U53&lt;14,"Medium Risk",IF(U53&gt;60,"Overstock","Healthy"))))</x:f>
        <x:v>Healthy</x:v>
      </x:c>
      <x:c r="X53" s="22" t="n">
        <x:v>1415</x:v>
      </x:c>
      <x:c r="Y53" s="22" t="n">
        <x:v>56</x:v>
      </x:c>
      <x:c r="Z53" s="22" t="n">
        <x:v>3</x:v>
      </x:c>
      <x:c r="AA53" s="24" t="n">
        <x:f>IFERROR(Y53/X53*100,0)</x:f>
        <x:v>3.9575971731448765</x:v>
      </x:c>
      <x:c r="AB53" s="26" t="n">
        <x:v>-33.4</x:v>
      </x:c>
      <x:c r="AC53" s="24" t="n">
        <x:f>IFERROR(Z53/X53*100,0)</x:f>
        <x:v>0.21201413427561835</x:v>
      </x:c>
      <x:c r="AD53" s="26" t="n">
        <x:v>-18.8</x:v>
      </x:c>
      <x:c r="AE53" s="22" t="n">
        <x:f>IFERROR(Z53*M53,0)</x:f>
        <x:v>17469</x:v>
      </x:c>
      <x:c r="AF53" s="26" t="n">
        <x:v>-7.8</x:v>
      </x:c>
      <x:c r="AG53" s="24" t="n">
        <x:v>57</x:v>
      </x:c>
      <x:c r="AH53" s="26" t="n">
        <x:v>-4.1</x:v>
      </x:c>
      <x:c r="AI53" s="22" t="n">
        <x:v>36</x:v>
      </x:c>
      <x:c r="AJ53" s="22" t="n">
        <x:v>20</x:v>
      </x:c>
      <x:c r="AK53" s="22" t="n">
        <x:v>13</x:v>
      </x:c>
      <x:c r="AL53" s="22" t="n">
        <x:v>10</x:v>
      </x:c>
      <x:c r="AM53" s="22" t="n">
        <x:v>9</x:v>
      </x:c>
      <x:c r="AN53" s="24" t="n">
        <x:f>IFERROR(AI53/X53*100,0)</x:f>
        <x:v>2.544169611307421</x:v>
      </x:c>
      <x:c r="AO53" s="24" t="n">
        <x:f>IFERROR(AJ53/X53*100,0)</x:f>
        <x:v>1.4134275618374559</x:v>
      </x:c>
      <x:c r="AP53" s="24" t="n">
        <x:f>IFERROR(AK53/X53*100,0)</x:f>
        <x:v>0.9187279151943463</x:v>
      </x:c>
      <x:c r="AQ53" s="24" t="n">
        <x:f>IFERROR(AL53/X53*100,0)</x:f>
        <x:v>0.7067137809187279</x:v>
      </x:c>
      <x:c r="AR53" s="24" t="n">
        <x:f>IFERROR(AM53/X53*100,0)</x:f>
        <x:v>0.6360424028268552</x:v>
      </x:c>
      <x:c r="AS53" s="24" t="n">
        <x:f>IFERROR(Z53/X53*100,0)</x:f>
        <x:v>0.21201413427561835</x:v>
      </x:c>
      <x:c r="AT53" s="26" t="n">
        <x:v>21.4</x:v>
      </x:c>
      <x:c r="AU53" s="26" t="n">
        <x:v>-23.7</x:v>
      </x:c>
      <x:c r="AV53" s="26" t="n">
        <x:v>-16</x:v>
      </x:c>
      <x:c r="AW53" s="26" t="n">
        <x:v>-16.1</x:v>
      </x:c>
      <x:c r="AX53" s="26" t="n">
        <x:v>9.2</x:v>
      </x:c>
      <x:c r="AY53" s="26" t="n">
        <x:v>2.7</x:v>
      </x:c>
      <x:c r="AZ53" s="26" t="n">
        <x:v>7.3</x:v>
      </x:c>
      <x:c r="BA53" s="26" t="n">
        <x:v>0</x:v>
      </x:c>
      <x:c r="BB53" s="22" t="n">
        <x:f>IFERROR(AE53/Z53,0)</x:f>
        <x:v>5823</x:v>
      </x:c>
      <x:c r="BC53" s="17" t="n">
        <x:f>IF(OR(V53="out_of_stock",V53="critical_low_stock"),MAX(0,(14-U53)*T53),0)</x:f>
        <x:v>0</x:v>
      </x:c>
      <x:c r="BD53" s="22" t="n">
        <x:f>IFERROR(BC53*M53,0)</x:f>
        <x:v>0</x:v>
      </x:c>
      <x:c r="BE53" s="17" t="str">
        <x:v>stock_sales_behavior</x:v>
      </x:c>
      <x:c r="BF53" s="17" t="str">
        <x:v>copied_from_uploaded_product2 + synthetic_stock</x:v>
      </x:c>
    </x:row>
    <x:row r="54">
      <x:c r="A54" s="17" t="n">
        <x:v>53</x:v>
      </x:c>
      <x:c r="B54" s="17" t="str">
        <x:v>PRODUCT_STOCK_BEHAVIOR</x:v>
      </x:c>
      <x:c r="C54" s="20" t="n">
        <x:v>46154</x:v>
      </x:c>
      <x:c r="D54" s="17" t="str">
        <x:v>Mobile Web</x:v>
      </x:c>
      <x:c r="E54" s="17" t="str">
        <x:v>Mobile</x:v>
      </x:c>
      <x:c r="F54" s="17" t="str">
        <x:v>Search Paid Generic</x:v>
      </x:c>
      <x:c r="G54" s="17" t="n">
        <x:v>34</x:v>
      </x:c>
      <x:c r="H54" s="17" t="str">
        <x:v>ECOVACS</x:v>
      </x:c>
      <x:c r="I54" s="17" t="str">
        <x:v>Ev Aletleri &amp; Yaşam</x:v>
      </x:c>
      <x:c r="J54" s="17" t="str">
        <x:v>Süpürgeler</x:v>
      </x:c>
      <x:c r="K54" s="17" t="str">
        <x:v>ECOVACS T80S Omni Robot Süpürge + Mop Siyah</x:v>
      </x:c>
      <x:c r="L54" s="17" t="str">
        <x:v>1252217</x:v>
      </x:c>
      <x:c r="M54" s="22" t="n">
        <x:v>28333</x:v>
      </x:c>
      <x:c r="N54" s="26" t="n">
        <x:v>-18.5</x:v>
      </x:c>
      <x:c r="O54" s="22" t="n">
        <x:v>30</x:v>
      </x:c>
      <x:c r="P54" s="22" t="n">
        <x:v>17</x:v>
      </x:c>
      <x:c r="Q54" s="22" t="n">
        <x:v>0</x:v>
      </x:c>
      <x:c r="R54" s="17" t="n">
        <x:v>10</x:v>
      </x:c>
      <x:c r="S54" s="22" t="n">
        <x:v>13</x:v>
      </x:c>
      <x:c r="T54" s="24" t="n">
        <x:v>1</x:v>
      </x:c>
      <x:c r="U54" s="24" t="n">
        <x:f>IFERROR(O54/T54,0)</x:f>
        <x:v>30</x:v>
      </x:c>
      <x:c r="V54" s="17" t="str">
        <x:f>IF(O54&lt;=0,"out_of_stock",IF(U54&lt;7,"critical_low_stock",IF(U54&gt;60,"overstock","in_stock")))</x:f>
        <x:v>in_stock</x:v>
      </x:c>
      <x:c r="W54" s="17" t="str">
        <x:f>IF(O54&lt;=0,"OOS",IF(AND(U54&lt;7,AC54&gt;=0.5),"High Risk",IF(U54&lt;14,"Medium Risk",IF(U54&gt;60,"Overstock","Healthy"))))</x:f>
        <x:v>Healthy</x:v>
      </x:c>
      <x:c r="X54" s="22" t="n">
        <x:v>1387</x:v>
      </x:c>
      <x:c r="Y54" s="22" t="n">
        <x:v>25</x:v>
      </x:c>
      <x:c r="Z54" s="22" t="n">
        <x:v>0</x:v>
      </x:c>
      <x:c r="AA54" s="24" t="n">
        <x:f>IFERROR(Y54/X54*100,0)</x:f>
        <x:v>1.802451333813987</x:v>
      </x:c>
      <x:c r="AB54" s="26" t="n">
        <x:v>11.5</x:v>
      </x:c>
      <x:c r="AC54" s="24" t="n">
        <x:f>IFERROR(Z54/X54*100,0)</x:f>
        <x:v>0</x:v>
      </x:c>
      <x:c r="AD54" s="26" t="n">
        <x:v>166</x:v>
      </x:c>
      <x:c r="AE54" s="22" t="n">
        <x:f>IFERROR(Z54*M54,0)</x:f>
        <x:v>0</x:v>
      </x:c>
      <x:c r="AF54" s="26" t="n">
        <x:v>134.3</x:v>
      </x:c>
      <x:c r="AG54" s="24" t="n">
        <x:v>86</x:v>
      </x:c>
      <x:c r="AH54" s="26" t="n">
        <x:v>0.3</x:v>
      </x:c>
      <x:c r="AI54" s="22" t="n">
        <x:v>17</x:v>
      </x:c>
      <x:c r="AJ54" s="22" t="n">
        <x:v>13</x:v>
      </x:c>
      <x:c r="AK54" s="22" t="n">
        <x:v>9</x:v>
      </x:c>
      <x:c r="AL54" s="22" t="n">
        <x:v>9</x:v>
      </x:c>
      <x:c r="AM54" s="22" t="n">
        <x:v>7</x:v>
      </x:c>
      <x:c r="AN54" s="24" t="n">
        <x:f>IFERROR(AI54/X54*100,0)</x:f>
        <x:v>1.225666906993511</x:v>
      </x:c>
      <x:c r="AO54" s="24" t="n">
        <x:f>IFERROR(AJ54/X54*100,0)</x:f>
        <x:v>0.9372746935832732</x:v>
      </x:c>
      <x:c r="AP54" s="24" t="n">
        <x:f>IFERROR(AK54/X54*100,0)</x:f>
        <x:v>0.6488824801730353</x:v>
      </x:c>
      <x:c r="AQ54" s="24" t="n">
        <x:f>IFERROR(AL54/X54*100,0)</x:f>
        <x:v>0.6488824801730353</x:v>
      </x:c>
      <x:c r="AR54" s="24" t="n">
        <x:f>IFERROR(AM54/X54*100,0)</x:f>
        <x:v>0.5046863734679163</x:v>
      </x:c>
      <x:c r="AS54" s="24" t="n">
        <x:f>IFERROR(Z54/X54*100,0)</x:f>
        <x:v>0</x:v>
      </x:c>
      <x:c r="AT54" s="26" t="n">
        <x:v>15.1</x:v>
      </x:c>
      <x:c r="AU54" s="26" t="n">
        <x:v>29.4</x:v>
      </x:c>
      <x:c r="AV54" s="26" t="n">
        <x:v>38.4</x:v>
      </x:c>
      <x:c r="AW54" s="26" t="n">
        <x:v>-0.8</x:v>
      </x:c>
      <x:c r="AX54" s="26" t="n">
        <x:v>-16.8</x:v>
      </x:c>
      <x:c r="AY54" s="26" t="n">
        <x:v>-15.5</x:v>
      </x:c>
      <x:c r="AZ54" s="26" t="n">
        <x:v>-6.2</x:v>
      </x:c>
      <x:c r="BA54" s="26" t="n">
        <x:v>166</x:v>
      </x:c>
      <x:c r="BB54" s="22" t="n">
        <x:f>IFERROR(AE54/Z54,0)</x:f>
        <x:v>0</x:v>
      </x:c>
      <x:c r="BC54" s="17" t="n">
        <x:f>IF(OR(V54="out_of_stock",V54="critical_low_stock"),MAX(0,(14-U54)*T54),0)</x:f>
        <x:v>0</x:v>
      </x:c>
      <x:c r="BD54" s="22" t="n">
        <x:f>IFERROR(BC54*M54,0)</x:f>
        <x:v>0</x:v>
      </x:c>
      <x:c r="BE54" s="17" t="str">
        <x:v>stock_sales_behavior</x:v>
      </x:c>
      <x:c r="BF54" s="17" t="str">
        <x:v>copied_from_uploaded_product2 + synthetic_stock</x:v>
      </x:c>
    </x:row>
    <x:row r="55">
      <x:c r="A55" s="17" t="n">
        <x:v>54</x:v>
      </x:c>
      <x:c r="B55" s="17" t="str">
        <x:v>PRODUCT_STOCK_BEHAVIOR</x:v>
      </x:c>
      <x:c r="C55" s="20" t="n">
        <x:v>46155</x:v>
      </x:c>
      <x:c r="D55" s="17" t="str">
        <x:v>App</x:v>
      </x:c>
      <x:c r="E55" s="17" t="str">
        <x:v>Mobile</x:v>
      </x:c>
      <x:c r="F55" s="17" t="str">
        <x:v>Social Paid</x:v>
      </x:c>
      <x:c r="G55" s="17" t="n">
        <x:v>99</x:v>
      </x:c>
      <x:c r="H55" s="17" t="str">
        <x:v>STANLEY</x:v>
      </x:c>
      <x:c r="I55" s="17" t="str">
        <x:v>Other</x:v>
      </x:c>
      <x:c r="J55" s="17" t="str">
        <x:v>Other</x:v>
      </x:c>
      <x:c r="K55" s="17" t="str">
        <x:v>STANLEY The Quick-Flip Water Bottle .47L / 16oz Termos Azure</x:v>
      </x:c>
      <x:c r="L55" s="17" t="str">
        <x:v>1238779</x:v>
      </x:c>
      <x:c r="M55" s="22" t="n">
        <x:v>2699</x:v>
      </x:c>
      <x:c r="N55" s="26" t="n">
        <x:v>-17.7</x:v>
      </x:c>
      <x:c r="O55" s="22" t="n">
        <x:v>45</x:v>
      </x:c>
      <x:c r="P55" s="22" t="n">
        <x:v>23</x:v>
      </x:c>
      <x:c r="Q55" s="22" t="n">
        <x:v>0</x:v>
      </x:c>
      <x:c r="R55" s="17" t="n">
        <x:v>5</x:v>
      </x:c>
      <x:c r="S55" s="22" t="n">
        <x:v>8</x:v>
      </x:c>
      <x:c r="T55" s="24" t="n">
        <x:v>1</x:v>
      </x:c>
      <x:c r="U55" s="24" t="n">
        <x:f>IFERROR(O55/T55,0)</x:f>
        <x:v>45</x:v>
      </x:c>
      <x:c r="V55" s="17" t="str">
        <x:f>IF(O55&lt;=0,"out_of_stock",IF(U55&lt;7,"critical_low_stock",IF(U55&gt;60,"overstock","in_stock")))</x:f>
        <x:v>in_stock</x:v>
      </x:c>
      <x:c r="W55" s="17" t="str">
        <x:f>IF(O55&lt;=0,"OOS",IF(AND(U55&lt;7,AC55&gt;=0.5),"High Risk",IF(U55&lt;14,"Medium Risk",IF(U55&gt;60,"Overstock","Healthy"))))</x:f>
        <x:v>Healthy</x:v>
      </x:c>
      <x:c r="X55" s="22" t="n">
        <x:v>1362</x:v>
      </x:c>
      <x:c r="Y55" s="22" t="n">
        <x:v>13</x:v>
      </x:c>
      <x:c r="Z55" s="22" t="n">
        <x:v>1</x:v>
      </x:c>
      <x:c r="AA55" s="24" t="n">
        <x:f>IFERROR(Y55/X55*100,0)</x:f>
        <x:v>0.9544787077826725</x:v>
      </x:c>
      <x:c r="AB55" s="26" t="n">
        <x:v>43.1</x:v>
      </x:c>
      <x:c r="AC55" s="24" t="n">
        <x:f>IFERROR(Z55/X55*100,0)</x:f>
        <x:v>0.07342143906020558</x:v>
      </x:c>
      <x:c r="AD55" s="26" t="n">
        <x:v>166</x:v>
      </x:c>
      <x:c r="AE55" s="22" t="n">
        <x:f>IFERROR(Z55*M55,0)</x:f>
        <x:v>2699</x:v>
      </x:c>
      <x:c r="AF55" s="26" t="n">
        <x:v>156.5</x:v>
      </x:c>
      <x:c r="AG55" s="24" t="n">
        <x:v>60</x:v>
      </x:c>
      <x:c r="AH55" s="26" t="n">
        <x:v>-1.5</x:v>
      </x:c>
      <x:c r="AI55" s="22" t="n">
        <x:v>11</x:v>
      </x:c>
      <x:c r="AJ55" s="22" t="n">
        <x:v>6</x:v>
      </x:c>
      <x:c r="AK55" s="22" t="n">
        <x:v>5</x:v>
      </x:c>
      <x:c r="AL55" s="22" t="n">
        <x:v>5</x:v>
      </x:c>
      <x:c r="AM55" s="22" t="n">
        <x:v>3</x:v>
      </x:c>
      <x:c r="AN55" s="24" t="n">
        <x:f>IFERROR(AI55/X55*100,0)</x:f>
        <x:v>0.8076358296622614</x:v>
      </x:c>
      <x:c r="AO55" s="24" t="n">
        <x:f>IFERROR(AJ55/X55*100,0)</x:f>
        <x:v>0.4405286343612335</x:v>
      </x:c>
      <x:c r="AP55" s="24" t="n">
        <x:f>IFERROR(AK55/X55*100,0)</x:f>
        <x:v>0.36710719530102787</x:v>
      </x:c>
      <x:c r="AQ55" s="24" t="n">
        <x:f>IFERROR(AL55/X55*100,0)</x:f>
        <x:v>0.36710719530102787</x:v>
      </x:c>
      <x:c r="AR55" s="24" t="n">
        <x:f>IFERROR(AM55/X55*100,0)</x:f>
        <x:v>0.22026431718061676</x:v>
      </x:c>
      <x:c r="AS55" s="24" t="n">
        <x:f>IFERROR(Z55/X55*100,0)</x:f>
        <x:v>0.07342143906020558</x:v>
      </x:c>
      <x:c r="AT55" s="26" t="n">
        <x:v>9.6</x:v>
      </x:c>
      <x:c r="AU55" s="26" t="n">
        <x:v>71.4</x:v>
      </x:c>
      <x:c r="AV55" s="26" t="n">
        <x:v>78.6</x:v>
      </x:c>
      <x:c r="AW55" s="26" t="n">
        <x:v>-62</x:v>
      </x:c>
      <x:c r="AX55" s="26" t="n">
        <x:v>-15.5</x:v>
      </x:c>
      <x:c r="AY55" s="26" t="n">
        <x:v>-13.7</x:v>
      </x:c>
      <x:c r="AZ55" s="26" t="n">
        <x:v>-27.1</x:v>
      </x:c>
      <x:c r="BA55" s="26" t="n">
        <x:v>166</x:v>
      </x:c>
      <x:c r="BB55" s="22" t="n">
        <x:f>IFERROR(AE55/Z55,0)</x:f>
        <x:v>2699</x:v>
      </x:c>
      <x:c r="BC55" s="17" t="n">
        <x:f>IF(OR(V55="out_of_stock",V55="critical_low_stock"),MAX(0,(14-U55)*T55),0)</x:f>
        <x:v>0</x:v>
      </x:c>
      <x:c r="BD55" s="22" t="n">
        <x:f>IFERROR(BC55*M55,0)</x:f>
        <x:v>0</x:v>
      </x:c>
      <x:c r="BE55" s="17" t="str">
        <x:v>stock_sales_behavior</x:v>
      </x:c>
      <x:c r="BF55" s="17" t="str">
        <x:v>copied_from_uploaded_product2 + synthetic_stock</x:v>
      </x:c>
    </x:row>
    <x:row r="56">
      <x:c r="A56" s="17" t="n">
        <x:v>55</x:v>
      </x:c>
      <x:c r="B56" s="17" t="str">
        <x:v>PRODUCT_STOCK_BEHAVIOR</x:v>
      </x:c>
      <x:c r="C56" s="20" t="n">
        <x:v>46156</x:v>
      </x:c>
      <x:c r="D56" s="17" t="str">
        <x:v>Mobile Web</x:v>
      </x:c>
      <x:c r="E56" s="17" t="str">
        <x:v>App</x:v>
      </x:c>
      <x:c r="F56" s="17" t="str">
        <x:v>Search Paid Generic</x:v>
      </x:c>
      <x:c r="G56" s="17" t="n">
        <x:v>28</x:v>
      </x:c>
      <x:c r="H56" s="17" t="str">
        <x:v>SAMSUNG</x:v>
      </x:c>
      <x:c r="I56" s="17" t="str">
        <x:v>Telefon</x:v>
      </x:c>
      <x:c r="J56" s="17" t="str">
        <x:v>Cep Telefonları</x:v>
      </x:c>
      <x:c r="K56" s="17" t="str">
        <x:v>SAMSUNG Galaxy A56 5G 8/256GB Akıllı Telefon Gri</x:v>
      </x:c>
      <x:c r="L56" s="17" t="str">
        <x:v>1245761</x:v>
      </x:c>
      <x:c r="M56" s="22" t="n">
        <x:v>28689</x:v>
      </x:c>
      <x:c r="N56" s="26" t="n">
        <x:v>-14.1</x:v>
      </x:c>
      <x:c r="O56" s="22" t="n">
        <x:v>66</x:v>
      </x:c>
      <x:c r="P56" s="22" t="n">
        <x:v>15</x:v>
      </x:c>
      <x:c r="Q56" s="22" t="n">
        <x:v>0</x:v>
      </x:c>
      <x:c r="R56" s="17" t="n">
        <x:v>5</x:v>
      </x:c>
      <x:c r="S56" s="22" t="n">
        <x:v>15</x:v>
      </x:c>
      <x:c r="T56" s="24" t="n">
        <x:v>1.8</x:v>
      </x:c>
      <x:c r="U56" s="24" t="n">
        <x:f>IFERROR(O56/T56,0)</x:f>
        <x:v>36.666666666666664</x:v>
      </x:c>
      <x:c r="V56" s="17" t="str">
        <x:f>IF(O56&lt;=0,"out_of_stock",IF(U56&lt;7,"critical_low_stock",IF(U56&gt;60,"overstock","in_stock")))</x:f>
        <x:v>in_stock</x:v>
      </x:c>
      <x:c r="W56" s="17" t="str">
        <x:f>IF(O56&lt;=0,"OOS",IF(AND(U56&lt;7,AC56&gt;=0.5),"High Risk",IF(U56&lt;14,"Medium Risk",IF(U56&gt;60,"Overstock","Healthy"))))</x:f>
        <x:v>Healthy</x:v>
      </x:c>
      <x:c r="X56" s="22" t="n">
        <x:v>1338</x:v>
      </x:c>
      <x:c r="Y56" s="22" t="n">
        <x:v>110</x:v>
      </x:c>
      <x:c r="Z56" s="22" t="n">
        <x:v>6</x:v>
      </x:c>
      <x:c r="AA56" s="24" t="n">
        <x:f>IFERROR(Y56/X56*100,0)</x:f>
        <x:v>8.221225710014949</x:v>
      </x:c>
      <x:c r="AB56" s="26" t="n">
        <x:v>-5.8</x:v>
      </x:c>
      <x:c r="AC56" s="24" t="n">
        <x:f>IFERROR(Z56/X56*100,0)</x:f>
        <x:v>0.4484304932735426</x:v>
      </x:c>
      <x:c r="AD56" s="26" t="n">
        <x:v>83.6</x:v>
      </x:c>
      <x:c r="AE56" s="22" t="n">
        <x:f>IFERROR(Z56*M56,0)</x:f>
        <x:v>172134</x:v>
      </x:c>
      <x:c r="AF56" s="26" t="n">
        <x:v>84.3</x:v>
      </x:c>
      <x:c r="AG56" s="24" t="n">
        <x:v>61</x:v>
      </x:c>
      <x:c r="AH56" s="26" t="n">
        <x:v>5.1</x:v>
      </x:c>
      <x:c r="AI56" s="22" t="n">
        <x:v>72</x:v>
      </x:c>
      <x:c r="AJ56" s="22" t="n">
        <x:v>26</x:v>
      </x:c>
      <x:c r="AK56" s="22" t="n">
        <x:v>18</x:v>
      </x:c>
      <x:c r="AL56" s="22" t="n">
        <x:v>12</x:v>
      </x:c>
      <x:c r="AM56" s="22" t="n">
        <x:v>6</x:v>
      </x:c>
      <x:c r="AN56" s="24" t="n">
        <x:f>IFERROR(AI56/X56*100,0)</x:f>
        <x:v>5.381165919282512</x:v>
      </x:c>
      <x:c r="AO56" s="24" t="n">
        <x:f>IFERROR(AJ56/X56*100,0)</x:f>
        <x:v>1.9431988041853512</x:v>
      </x:c>
      <x:c r="AP56" s="24" t="n">
        <x:f>IFERROR(AK56/X56*100,0)</x:f>
        <x:v>1.345291479820628</x:v>
      </x:c>
      <x:c r="AQ56" s="24" t="n">
        <x:f>IFERROR(AL56/X56*100,0)</x:f>
        <x:v>0.8968609865470852</x:v>
      </x:c>
      <x:c r="AR56" s="24" t="n">
        <x:f>IFERROR(AM56/X56*100,0)</x:f>
        <x:v>0.4484304932735426</x:v>
      </x:c>
      <x:c r="AS56" s="24" t="n">
        <x:f>IFERROR(Z56/X56*100,0)</x:f>
        <x:v>0.4484304932735426</x:v>
      </x:c>
      <x:c r="AT56" s="26" t="n">
        <x:v>6.7</x:v>
      </x:c>
      <x:c r="AU56" s="26" t="n">
        <x:v>-6.7</x:v>
      </x:c>
      <x:c r="AV56" s="26" t="n">
        <x:v>-7.7</x:v>
      </x:c>
      <x:c r="AW56" s="26" t="n">
        <x:v>-55.1</x:v>
      </x:c>
      <x:c r="AX56" s="26" t="n">
        <x:v>1.5</x:v>
      </x:c>
      <x:c r="AY56" s="26" t="n">
        <x:v>7.7</x:v>
      </x:c>
      <x:c r="AZ56" s="26" t="n">
        <x:v>5.9</x:v>
      </x:c>
      <x:c r="BA56" s="26" t="n">
        <x:v>100</x:v>
      </x:c>
      <x:c r="BB56" s="22" t="n">
        <x:f>IFERROR(AE56/Z56,0)</x:f>
        <x:v>28689</x:v>
      </x:c>
      <x:c r="BC56" s="17" t="n">
        <x:f>IF(OR(V56="out_of_stock",V56="critical_low_stock"),MAX(0,(14-U56)*T56),0)</x:f>
        <x:v>0</x:v>
      </x:c>
      <x:c r="BD56" s="22" t="n">
        <x:f>IFERROR(BC56*M56,0)</x:f>
        <x:v>0</x:v>
      </x:c>
      <x:c r="BE56" s="17" t="str">
        <x:v>stock_sales_behavior</x:v>
      </x:c>
      <x:c r="BF56" s="17" t="str">
        <x:v>copied_from_uploaded_product2 + synthetic_stock</x:v>
      </x:c>
    </x:row>
    <x:row r="57">
      <x:c r="A57" s="17" t="n">
        <x:v>56</x:v>
      </x:c>
      <x:c r="B57" s="17" t="str">
        <x:v>PRODUCT_STOCK_BEHAVIOR</x:v>
      </x:c>
      <x:c r="C57" s="20" t="n">
        <x:v>46143</x:v>
      </x:c>
      <x:c r="D57" s="17" t="str">
        <x:v>App</x:v>
      </x:c>
      <x:c r="E57" s="17" t="str">
        <x:v>Mobile</x:v>
      </x:c>
      <x:c r="F57" s="17" t="str">
        <x:v>Search Paid Generic</x:v>
      </x:c>
      <x:c r="G57" s="17" t="n">
        <x:v>28</x:v>
      </x:c>
      <x:c r="H57" s="17" t="str">
        <x:v>APPLE</x:v>
      </x:c>
      <x:c r="I57" s="17" t="str">
        <x:v>Telefon</x:v>
      </x:c>
      <x:c r="J57" s="17" t="str">
        <x:v>Cep Telefonları</x:v>
      </x:c>
      <x:c r="K57" s="17" t="str">
        <x:v>APPLE iPhone 16 256 GB Akıllı Telefon Beyaz MYEF3TU/A</x:v>
      </x:c>
      <x:c r="L57" s="17" t="str">
        <x:v>1239570</x:v>
      </x:c>
      <x:c r="M57" s="22" t="n">
        <x:v>59086</x:v>
      </x:c>
      <x:c r="N57" s="26" t="n">
        <x:v>-6.4</x:v>
      </x:c>
      <x:c r="O57" s="22" t="n">
        <x:v>110</x:v>
      </x:c>
      <x:c r="P57" s="22" t="n">
        <x:v>101</x:v>
      </x:c>
      <x:c r="Q57" s="22" t="n">
        <x:v>0</x:v>
      </x:c>
      <x:c r="R57" s="17" t="n">
        <x:v>3</x:v>
      </x:c>
      <x:c r="S57" s="22" t="n">
        <x:v>10</x:v>
      </x:c>
      <x:c r="T57" s="24" t="n">
        <x:v>1.6</x:v>
      </x:c>
      <x:c r="U57" s="24" t="n">
        <x:f>IFERROR(O57/T57,0)</x:f>
        <x:v>68.75</x:v>
      </x:c>
      <x:c r="V57" s="17" t="str">
        <x:f>IF(O57&lt;=0,"out_of_stock",IF(U57&lt;7,"critical_low_stock",IF(U57&gt;60,"overstock","in_stock")))</x:f>
        <x:v>overstock</x:v>
      </x:c>
      <x:c r="W57" s="17" t="str">
        <x:f>IF(O57&lt;=0,"OOS",IF(AND(U57&lt;7,AC57&gt;=0.5),"High Risk",IF(U57&lt;14,"Medium Risk",IF(U57&gt;60,"Overstock","Healthy"))))</x:f>
        <x:v>Overstock</x:v>
      </x:c>
      <x:c r="X57" s="22" t="n">
        <x:v>1336</x:v>
      </x:c>
      <x:c r="Y57" s="22" t="n">
        <x:v>0</x:v>
      </x:c>
      <x:c r="Z57" s="22" t="n">
        <x:v>0</x:v>
      </x:c>
      <x:c r="AA57" s="24" t="n">
        <x:f>IFERROR(Y57/X57*100,0)</x:f>
        <x:v>0</x:v>
      </x:c>
      <x:c r="AB57" s="26" t="n">
        <x:v>166</x:v>
      </x:c>
      <x:c r="AC57" s="24" t="n">
        <x:f>IFERROR(Z57/X57*100,0)</x:f>
        <x:v>0</x:v>
      </x:c>
      <x:c r="AD57" s="26" t="n">
        <x:v>166</x:v>
      </x:c>
      <x:c r="AE57" s="22" t="n">
        <x:f>IFERROR(Z57*M57,0)</x:f>
        <x:v>0</x:v>
      </x:c>
      <x:c r="AF57" s="26" t="n">
        <x:v>147</x:v>
      </x:c>
      <x:c r="AG57" s="24" t="n">
        <x:v>52</x:v>
      </x:c>
      <x:c r="AH57" s="26" t="n">
        <x:v>-22</x:v>
      </x:c>
      <x:c r="AI57" s="22" t="n">
        <x:v>0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4" t="n">
        <x:f>IFERROR(AI57/X57*100,0)</x:f>
        <x:v>0</x:v>
      </x:c>
      <x:c r="AO57" s="24" t="n">
        <x:f>IFERROR(AJ57/X57*100,0)</x:f>
        <x:v>0</x:v>
      </x:c>
      <x:c r="AP57" s="24" t="n">
        <x:f>IFERROR(AK57/X57*100,0)</x:f>
        <x:v>0</x:v>
      </x:c>
      <x:c r="AQ57" s="24" t="n">
        <x:f>IFERROR(AL57/X57*100,0)</x:f>
        <x:v>0</x:v>
      </x:c>
      <x:c r="AR57" s="24" t="n">
        <x:f>IFERROR(AM57/X57*100,0)</x:f>
        <x:v>0</x:v>
      </x:c>
      <x:c r="AS57" s="24" t="n">
        <x:f>IFERROR(Z57/X57*100,0)</x:f>
        <x:v>0</x:v>
      </x:c>
      <x:c r="AT57" s="26" t="n">
        <x:v>22.2</x:v>
      </x:c>
      <x:c r="AU57" s="26" t="n">
        <x:v>166</x:v>
      </x:c>
      <x:c r="AV57" s="26" t="n">
        <x:v>158.5</x:v>
      </x:c>
      <x:c r="AW57" s="26" t="n">
        <x:v>-18.8</x:v>
      </x:c>
      <x:c r="AX57" s="26" t="n">
        <x:v>0.5</x:v>
      </x:c>
      <x:c r="AY57" s="26" t="n">
        <x:v>7</x:v>
      </x:c>
      <x:c r="AZ57" s="26" t="n">
        <x:v>-17.9</x:v>
      </x:c>
      <x:c r="BA57" s="26" t="n">
        <x:v>166</x:v>
      </x:c>
      <x:c r="BB57" s="22" t="n">
        <x:f>IFERROR(AE57/Z57,0)</x:f>
        <x:v>0</x:v>
      </x:c>
      <x:c r="BC57" s="17" t="n">
        <x:f>IF(OR(V57="out_of_stock",V57="critical_low_stock"),MAX(0,(14-U57)*T57),0)</x:f>
        <x:v>0</x:v>
      </x:c>
      <x:c r="BD57" s="22" t="n">
        <x:f>IFERROR(BC57*M57,0)</x:f>
        <x:v>0</x:v>
      </x:c>
      <x:c r="BE57" s="17" t="str">
        <x:v>stock_sales_behavior</x:v>
      </x:c>
      <x:c r="BF57" s="17" t="str">
        <x:v>copied_from_uploaded_product2 + synthetic_stock</x:v>
      </x:c>
    </x:row>
    <x:row r="58">
      <x:c r="A58" s="17" t="n">
        <x:v>57</x:v>
      </x:c>
      <x:c r="B58" s="17" t="str">
        <x:v>PRODUCT_STOCK_BEHAVIOR</x:v>
      </x:c>
      <x:c r="C58" s="20" t="n">
        <x:v>46144</x:v>
      </x:c>
      <x:c r="D58" s="17" t="str">
        <x:v>Web</x:v>
      </x:c>
      <x:c r="E58" s="17" t="str">
        <x:v>Desktop</x:v>
      </x:c>
      <x:c r="F58" s="17" t="str">
        <x:v>Direct</x:v>
      </x:c>
      <x:c r="G58" s="17" t="n">
        <x:v>28</x:v>
      </x:c>
      <x:c r="H58" s="17" t="str">
        <x:v>SAMSUNG</x:v>
      </x:c>
      <x:c r="I58" s="17" t="str">
        <x:v>Telefon</x:v>
      </x:c>
      <x:c r="J58" s="17" t="str">
        <x:v>Cep Telefonları</x:v>
      </x:c>
      <x:c r="K58" s="17" t="str">
        <x:v>SAMSUNG Galaxy A07 4/128GB Akıllı Telefon Siyah</x:v>
      </x:c>
      <x:c r="L58" s="17" t="str">
        <x:v>1249683</x:v>
      </x:c>
      <x:c r="M58" s="22" t="n">
        <x:v>61770</x:v>
      </x:c>
      <x:c r="N58" s="26" t="n">
        <x:v>-6.7</x:v>
      </x:c>
      <x:c r="O58" s="22" t="n">
        <x:v>25</x:v>
      </x:c>
      <x:c r="P58" s="22" t="n">
        <x:v>31</x:v>
      </x:c>
      <x:c r="Q58" s="22" t="n">
        <x:v>0</x:v>
      </x:c>
      <x:c r="R58" s="17" t="n">
        <x:v>10</x:v>
      </x:c>
      <x:c r="S58" s="22" t="n">
        <x:v>23</x:v>
      </x:c>
      <x:c r="T58" s="24" t="n">
        <x:v>1.7</x:v>
      </x:c>
      <x:c r="U58" s="24" t="n">
        <x:f>IFERROR(O58/T58,0)</x:f>
        <x:v>14.705882352941178</x:v>
      </x:c>
      <x:c r="V58" s="17" t="str">
        <x:f>IF(O58&lt;=0,"out_of_stock",IF(U58&lt;7,"critical_low_stock",IF(U58&gt;60,"overstock","in_stock")))</x:f>
        <x:v>in_stock</x:v>
      </x:c>
      <x:c r="W58" s="17" t="str">
        <x:f>IF(O58&lt;=0,"OOS",IF(AND(U58&lt;7,AC58&gt;=0.5),"High Risk",IF(U58&lt;14,"Medium Risk",IF(U58&gt;60,"Overstock","Healthy"))))</x:f>
        <x:v>Healthy</x:v>
      </x:c>
      <x:c r="X58" s="22" t="n">
        <x:v>1333</x:v>
      </x:c>
      <x:c r="Y58" s="22" t="n">
        <x:v>113</x:v>
      </x:c>
      <x:c r="Z58" s="22" t="n">
        <x:v>3</x:v>
      </x:c>
      <x:c r="AA58" s="24" t="n">
        <x:f>IFERROR(Y58/X58*100,0)</x:f>
        <x:v>8.477119279819954</x:v>
      </x:c>
      <x:c r="AB58" s="26" t="n">
        <x:v>26.9</x:v>
      </x:c>
      <x:c r="AC58" s="24" t="n">
        <x:f>IFERROR(Z58/X58*100,0)</x:f>
        <x:v>0.22505626406601648</x:v>
      </x:c>
      <x:c r="AD58" s="26" t="n">
        <x:v>-36.8</x:v>
      </x:c>
      <x:c r="AE58" s="22" t="n">
        <x:f>IFERROR(Z58*M58,0)</x:f>
        <x:v>185310</x:v>
      </x:c>
      <x:c r="AF58" s="26" t="n">
        <x:v>-41.5</x:v>
      </x:c>
      <x:c r="AG58" s="24" t="n">
        <x:v>64</x:v>
      </x:c>
      <x:c r="AH58" s="26" t="n">
        <x:v>2.1</x:v>
      </x:c>
      <x:c r="AI58" s="22" t="n">
        <x:v>101</x:v>
      </x:c>
      <x:c r="AJ58" s="22" t="n">
        <x:v>60</x:v>
      </x:c>
      <x:c r="AK58" s="22" t="n">
        <x:v>51</x:v>
      </x:c>
      <x:c r="AL58" s="22" t="n">
        <x:v>46</x:v>
      </x:c>
      <x:c r="AM58" s="22" t="n">
        <x:v>23</x:v>
      </x:c>
      <x:c r="AN58" s="24" t="n">
        <x:f>IFERROR(AI58/X58*100,0)</x:f>
        <x:v>7.576894223555889</x:v>
      </x:c>
      <x:c r="AO58" s="24" t="n">
        <x:f>IFERROR(AJ58/X58*100,0)</x:f>
        <x:v>4.50112528132033</x:v>
      </x:c>
      <x:c r="AP58" s="24" t="n">
        <x:f>IFERROR(AK58/X58*100,0)</x:f>
        <x:v>3.8259564891222806</x:v>
      </x:c>
      <x:c r="AQ58" s="24" t="n">
        <x:f>IFERROR(AL58/X58*100,0)</x:f>
        <x:v>3.45086271567892</x:v>
      </x:c>
      <x:c r="AR58" s="24" t="n">
        <x:f>IFERROR(AM58/X58*100,0)</x:f>
        <x:v>1.72543135783946</x:v>
      </x:c>
      <x:c r="AS58" s="24" t="n">
        <x:f>IFERROR(Z58/X58*100,0)</x:f>
        <x:v>0.22505626406601648</x:v>
      </x:c>
      <x:c r="AT58" s="26" t="n">
        <x:v>5.5</x:v>
      </x:c>
      <x:c r="AU58" s="26" t="n">
        <x:v>32.1</x:v>
      </x:c>
      <x:c r="AV58" s="26" t="n">
        <x:v>38.6</x:v>
      </x:c>
      <x:c r="AW58" s="26" t="n">
        <x:v>-39.1</x:v>
      </x:c>
      <x:c r="AX58" s="26" t="n">
        <x:v>5.5</x:v>
      </x:c>
      <x:c r="AY58" s="26" t="n">
        <x:v>-10.9</x:v>
      </x:c>
      <x:c r="AZ58" s="26" t="n">
        <x:v>-20.9</x:v>
      </x:c>
      <x:c r="BA58" s="26" t="n">
        <x:v>-33.3</x:v>
      </x:c>
      <x:c r="BB58" s="22" t="n">
        <x:f>IFERROR(AE58/Z58,0)</x:f>
        <x:v>61770</x:v>
      </x:c>
      <x:c r="BC58" s="17" t="n">
        <x:f>IF(OR(V58="out_of_stock",V58="critical_low_stock"),MAX(0,(14-U58)*T58),0)</x:f>
        <x:v>0</x:v>
      </x:c>
      <x:c r="BD58" s="22" t="n">
        <x:f>IFERROR(BC58*M58,0)</x:f>
        <x:v>0</x:v>
      </x:c>
      <x:c r="BE58" s="17" t="str">
        <x:v>stock_sales_behavior</x:v>
      </x:c>
      <x:c r="BF58" s="17" t="str">
        <x:v>copied_from_uploaded_product2 + synthetic_stock</x:v>
      </x:c>
    </x:row>
    <x:row r="59">
      <x:c r="A59" s="17" t="n">
        <x:v>58</x:v>
      </x:c>
      <x:c r="B59" s="17" t="str">
        <x:v>PRODUCT_STOCK_BEHAVIOR</x:v>
      </x:c>
      <x:c r="C59" s="20" t="n">
        <x:v>46145</x:v>
      </x:c>
      <x:c r="D59" s="17" t="str">
        <x:v>Web</x:v>
      </x:c>
      <x:c r="E59" s="17" t="str">
        <x:v>Desktop</x:v>
      </x:c>
      <x:c r="F59" s="17" t="str">
        <x:v>Direct</x:v>
      </x:c>
      <x:c r="G59" s="17" t="n">
        <x:v>99</x:v>
      </x:c>
      <x:c r="H59" s="17" t="str">
        <x:v>PHILIPS</x:v>
      </x:c>
      <x:c r="I59" s="17" t="str">
        <x:v>Other</x:v>
      </x:c>
      <x:c r="J59" s="17" t="str">
        <x:v>Other</x:v>
      </x:c>
      <x:c r="K59" s="17" t="str">
        <x:v>PHILIPS Lumea 9900 Serisi BRI951/03 IPL Tüy Alma, SkinAI, Vücut, Yüz, Koltuk altı, Bikini, 4 Başlık, Çanta</x:v>
      </x:c>
      <x:c r="L59" s="17" t="str">
        <x:v>1247595</x:v>
      </x:c>
      <x:c r="M59" s="22" t="n">
        <x:v>10352</x:v>
      </x:c>
      <x:c r="N59" s="26" t="n">
        <x:v>-3.2</x:v>
      </x:c>
      <x:c r="O59" s="22" t="n">
        <x:v>42</x:v>
      </x:c>
      <x:c r="P59" s="22" t="n">
        <x:v>61</x:v>
      </x:c>
      <x:c r="Q59" s="22" t="n">
        <x:v>40</x:v>
      </x:c>
      <x:c r="R59" s="17" t="n">
        <x:v>10</x:v>
      </x:c>
      <x:c r="S59" s="22" t="n">
        <x:v>42</x:v>
      </x:c>
      <x:c r="T59" s="24" t="n">
        <x:v>3.2</x:v>
      </x:c>
      <x:c r="U59" s="24" t="n">
        <x:f>IFERROR(O59/T59,0)</x:f>
        <x:v>13.125</x:v>
      </x:c>
      <x:c r="V59" s="17" t="str">
        <x:f>IF(O59&lt;=0,"out_of_stock",IF(U59&lt;7,"critical_low_stock",IF(U59&gt;60,"overstock","in_stock")))</x:f>
        <x:v>in_stock</x:v>
      </x:c>
      <x:c r="W59" s="17" t="str">
        <x:f>IF(O59&lt;=0,"OOS",IF(AND(U59&lt;7,AC59&gt;=0.5),"High Risk",IF(U59&lt;14,"Medium Risk",IF(U59&gt;60,"Overstock","Healthy"))))</x:f>
        <x:v>Medium Risk</x:v>
      </x:c>
      <x:c r="X59" s="22" t="n">
        <x:v>1331</x:v>
      </x:c>
      <x:c r="Y59" s="22" t="n">
        <x:v>79</x:v>
      </x:c>
      <x:c r="Z59" s="22" t="n">
        <x:v>19</x:v>
      </x:c>
      <x:c r="AA59" s="24" t="n">
        <x:f>IFERROR(Y59/X59*100,0)</x:f>
        <x:v>5.935386927122464</x:v>
      </x:c>
      <x:c r="AB59" s="26" t="n">
        <x:v>9.4</x:v>
      </x:c>
      <x:c r="AC59" s="24" t="n">
        <x:f>IFERROR(Z59/X59*100,0)</x:f>
        <x:v>1.4274981217129978</x:v>
      </x:c>
      <x:c r="AD59" s="26" t="n">
        <x:v>195.9</x:v>
      </x:c>
      <x:c r="AE59" s="22" t="n">
        <x:f>IFERROR(Z59*M59,0)</x:f>
        <x:v>196688</x:v>
      </x:c>
      <x:c r="AF59" s="26" t="n">
        <x:v>191.7</x:v>
      </x:c>
      <x:c r="AG59" s="24" t="n">
        <x:v>74</x:v>
      </x:c>
      <x:c r="AH59" s="26" t="n">
        <x:v>-2.1</x:v>
      </x:c>
      <x:c r="AI59" s="22" t="n">
        <x:v>67</x:v>
      </x:c>
      <x:c r="AJ59" s="22" t="n">
        <x:v>45</x:v>
      </x:c>
      <x:c r="AK59" s="22" t="n">
        <x:v>34</x:v>
      </x:c>
      <x:c r="AL59" s="22" t="n">
        <x:v>29</x:v>
      </x:c>
      <x:c r="AM59" s="22" t="n">
        <x:v>20</x:v>
      </x:c>
      <x:c r="AN59" s="24" t="n">
        <x:f>IFERROR(AI59/X59*100,0)</x:f>
        <x:v>5.033809166040571</x:v>
      </x:c>
      <x:c r="AO59" s="24" t="n">
        <x:f>IFERROR(AJ59/X59*100,0)</x:f>
        <x:v>3.3809166040571</x:v>
      </x:c>
      <x:c r="AP59" s="24" t="n">
        <x:f>IFERROR(AK59/X59*100,0)</x:f>
        <x:v>2.5544703230653645</x:v>
      </x:c>
      <x:c r="AQ59" s="24" t="n">
        <x:f>IFERROR(AL59/X59*100,0)</x:f>
        <x:v>2.1788129226145756</x:v>
      </x:c>
      <x:c r="AR59" s="24" t="n">
        <x:f>IFERROR(AM59/X59*100,0)</x:f>
        <x:v>1.5026296018031555</x:v>
      </x:c>
      <x:c r="AS59" s="24" t="n">
        <x:f>IFERROR(Z59/X59*100,0)</x:f>
        <x:v>1.4274981217129978</x:v>
      </x:c>
      <x:c r="AT59" s="26" t="n">
        <x:v>3.1</x:v>
      </x:c>
      <x:c r="AU59" s="26" t="n">
        <x:v>-5.6</x:v>
      </x:c>
      <x:c r="AV59" s="26" t="n">
        <x:v>1.9</x:v>
      </x:c>
      <x:c r="AW59" s="26" t="n">
        <x:v>9.7</x:v>
      </x:c>
      <x:c r="AX59" s="26" t="n">
        <x:v>-5.2</x:v>
      </x:c>
      <x:c r="AY59" s="26" t="n">
        <x:v>16.2</x:v>
      </x:c>
      <x:c r="AZ59" s="26" t="n">
        <x:v>-32.7</x:v>
      </x:c>
      <x:c r="BA59" s="26" t="n">
        <x:v>200</x:v>
      </x:c>
      <x:c r="BB59" s="22" t="n">
        <x:f>IFERROR(AE59/Z59,0)</x:f>
        <x:v>10352</x:v>
      </x:c>
      <x:c r="BC59" s="17" t="n">
        <x:f>IF(OR(V59="out_of_stock",V59="critical_low_stock"),MAX(0,(14-U59)*T59),0)</x:f>
        <x:v>0</x:v>
      </x:c>
      <x:c r="BD59" s="22" t="n">
        <x:f>IFERROR(BC59*M59,0)</x:f>
        <x:v>0</x:v>
      </x:c>
      <x:c r="BE59" s="17" t="str">
        <x:v>stock_sales_behavior</x:v>
      </x:c>
      <x:c r="BF59" s="17" t="str">
        <x:v>copied_from_uploaded_product2 + synthetic_stock</x:v>
      </x:c>
    </x:row>
    <x:row r="60">
      <x:c r="A60" s="17" t="n">
        <x:v>59</x:v>
      </x:c>
      <x:c r="B60" s="17" t="str">
        <x:v>PRODUCT_STOCK_BEHAVIOR</x:v>
      </x:c>
      <x:c r="C60" s="20" t="n">
        <x:v>46146</x:v>
      </x:c>
      <x:c r="D60" s="17" t="str">
        <x:v>Web</x:v>
      </x:c>
      <x:c r="E60" s="17" t="str">
        <x:v>Desktop</x:v>
      </x:c>
      <x:c r="F60" s="17" t="str">
        <x:v>Affiliate</x:v>
      </x:c>
      <x:c r="G60" s="17" t="n">
        <x:v>28</x:v>
      </x:c>
      <x:c r="H60" s="17" t="str">
        <x:v>XIAOMI</x:v>
      </x:c>
      <x:c r="I60" s="17" t="str">
        <x:v>Telefon</x:v>
      </x:c>
      <x:c r="J60" s="17" t="str">
        <x:v>Cep Telefonları</x:v>
      </x:c>
      <x:c r="K60" s="17" t="str">
        <x:v>XIAOMI Redmi Note 15 Pro 8/256GB Akıllı Telefon Titanium</x:v>
      </x:c>
      <x:c r="L60" s="17" t="str">
        <x:v>1251728</x:v>
      </x:c>
      <x:c r="M60" s="22" t="n">
        <x:v>11425</x:v>
      </x:c>
      <x:c r="N60" s="26" t="n">
        <x:v>7</x:v>
      </x:c>
      <x:c r="O60" s="22" t="n">
        <x:v>30</x:v>
      </x:c>
      <x:c r="P60" s="22" t="n">
        <x:v>13</x:v>
      </x:c>
      <x:c r="Q60" s="22" t="n">
        <x:v>0</x:v>
      </x:c>
      <x:c r="R60" s="17" t="n">
        <x:v>14</x:v>
      </x:c>
      <x:c r="S60" s="22" t="n">
        <x:v>16</x:v>
      </x:c>
      <x:c r="T60" s="24" t="n">
        <x:v>0.9</x:v>
      </x:c>
      <x:c r="U60" s="24" t="n">
        <x:f>IFERROR(O60/T60,0)</x:f>
        <x:v>33.333333333333336</x:v>
      </x:c>
      <x:c r="V60" s="17" t="str">
        <x:f>IF(O60&lt;=0,"out_of_stock",IF(U60&lt;7,"critical_low_stock",IF(U60&gt;60,"overstock","in_stock")))</x:f>
        <x:v>in_stock</x:v>
      </x:c>
      <x:c r="W60" s="17" t="str">
        <x:f>IF(O60&lt;=0,"OOS",IF(AND(U60&lt;7,AC60&gt;=0.5),"High Risk",IF(U60&lt;14,"Medium Risk",IF(U60&gt;60,"Overstock","Healthy"))))</x:f>
        <x:v>Healthy</x:v>
      </x:c>
      <x:c r="X60" s="22" t="n">
        <x:v>1327</x:v>
      </x:c>
      <x:c r="Y60" s="22" t="n">
        <x:v>71</x:v>
      </x:c>
      <x:c r="Z60" s="22" t="n">
        <x:v>0</x:v>
      </x:c>
      <x:c r="AA60" s="24" t="n">
        <x:f>IFERROR(Y60/X60*100,0)</x:f>
        <x:v>5.35041446872645</x:v>
      </x:c>
      <x:c r="AB60" s="26" t="n">
        <x:v>-6.4</x:v>
      </x:c>
      <x:c r="AC60" s="24" t="n">
        <x:f>IFERROR(Z60/X60*100,0)</x:f>
        <x:v>0</x:v>
      </x:c>
      <x:c r="AD60" s="26" t="n">
        <x:v>-100</x:v>
      </x:c>
      <x:c r="AE60" s="22" t="n">
        <x:f>IFERROR(Z60*M60,0)</x:f>
        <x:v>0</x:v>
      </x:c>
      <x:c r="AF60" s="26" t="n">
        <x:v>-95</x:v>
      </x:c>
      <x:c r="AG60" s="24" t="n">
        <x:v>56</x:v>
      </x:c>
      <x:c r="AH60" s="26" t="n">
        <x:v>-8.6</x:v>
      </x:c>
      <x:c r="AI60" s="22" t="n">
        <x:v>53</x:v>
      </x:c>
      <x:c r="AJ60" s="22" t="n">
        <x:v>36</x:v>
      </x:c>
      <x:c r="AK60" s="22" t="n">
        <x:v>24</x:v>
      </x:c>
      <x:c r="AL60" s="22" t="n">
        <x:v>20</x:v>
      </x:c>
      <x:c r="AM60" s="22" t="n">
        <x:v>9</x:v>
      </x:c>
      <x:c r="AN60" s="24" t="n">
        <x:f>IFERROR(AI60/X60*100,0)</x:f>
        <x:v>3.9939713639788996</x:v>
      </x:c>
      <x:c r="AO60" s="24" t="n">
        <x:f>IFERROR(AJ60/X60*100,0)</x:f>
        <x:v>2.7128862094951014</x:v>
      </x:c>
      <x:c r="AP60" s="24" t="n">
        <x:f>IFERROR(AK60/X60*100,0)</x:f>
        <x:v>1.8085908063300677</x:v>
      </x:c>
      <x:c r="AQ60" s="24" t="n">
        <x:f>IFERROR(AL60/X60*100,0)</x:f>
        <x:v>1.5071590052750565</x:v>
      </x:c>
      <x:c r="AR60" s="24" t="n">
        <x:f>IFERROR(AM60/X60*100,0)</x:f>
        <x:v>0.6782215523737753</x:v>
      </x:c>
      <x:c r="AS60" s="24" t="n">
        <x:f>IFERROR(Z60/X60*100,0)</x:f>
        <x:v>0</x:v>
      </x:c>
      <x:c r="AT60" s="26" t="n">
        <x:v>-8.9</x:v>
      </x:c>
      <x:c r="AU60" s="26" t="n">
        <x:v>-10.7</x:v>
      </x:c>
      <x:c r="AV60" s="26" t="n">
        <x:v>-1.2</x:v>
      </x:c>
      <x:c r="AW60" s="26" t="n">
        <x:v>-1.3</x:v>
      </x:c>
      <x:c r="AX60" s="26" t="n">
        <x:v>1.5</x:v>
      </x:c>
      <x:c r="AY60" s="26" t="n">
        <x:v>3.9</x:v>
      </x:c>
      <x:c r="AZ60" s="26" t="n">
        <x:v>-33.8</x:v>
      </x:c>
      <x:c r="BA60" s="26" t="n">
        <x:v>-100</x:v>
      </x:c>
      <x:c r="BB60" s="22" t="n">
        <x:f>IFERROR(AE60/Z60,0)</x:f>
        <x:v>0</x:v>
      </x:c>
      <x:c r="BC60" s="17" t="n">
        <x:f>IF(OR(V60="out_of_stock",V60="critical_low_stock"),MAX(0,(14-U60)*T60),0)</x:f>
        <x:v>0</x:v>
      </x:c>
      <x:c r="BD60" s="22" t="n">
        <x:f>IFERROR(BC60*M60,0)</x:f>
        <x:v>0</x:v>
      </x:c>
      <x:c r="BE60" s="17" t="str">
        <x:v>stock_sales_behavior</x:v>
      </x:c>
      <x:c r="BF60" s="17" t="str">
        <x:v>copied_from_uploaded_product2 + synthetic_stock</x:v>
      </x:c>
    </x:row>
    <x:row r="61">
      <x:c r="A61" s="17" t="n">
        <x:v>60</x:v>
      </x:c>
      <x:c r="B61" s="17" t="str">
        <x:v>PRODUCT_STOCK_BEHAVIOR</x:v>
      </x:c>
      <x:c r="C61" s="20" t="n">
        <x:v>46147</x:v>
      </x:c>
      <x:c r="D61" s="17" t="str">
        <x:v>App</x:v>
      </x:c>
      <x:c r="E61" s="17" t="str">
        <x:v>App</x:v>
      </x:c>
      <x:c r="F61" s="17" t="str">
        <x:v>Search Paid Brand</x:v>
      </x:c>
      <x:c r="G61" s="17" t="n">
        <x:v>24</x:v>
      </x:c>
      <x:c r="H61" s="17" t="str">
        <x:v>APPLE</x:v>
      </x:c>
      <x:c r="I61" s="17" t="str">
        <x:v>Bilgisayar</x:v>
      </x:c>
      <x:c r="J61" s="17" t="str">
        <x:v>Tabletler</x:v>
      </x:c>
      <x:c r="K61" s="17" t="str">
        <x:v>APPLE 11 inç iPad Pro (M4) için Magic Türkçe Q Klavye Siyah</x:v>
      </x:c>
      <x:c r="L61" s="17" t="str">
        <x:v>1237297</x:v>
      </x:c>
      <x:c r="M61" s="22" t="n">
        <x:v>35555</x:v>
      </x:c>
      <x:c r="N61" s="26" t="n">
        <x:v>17.3</x:v>
      </x:c>
      <x:c r="O61" s="22" t="n">
        <x:v>0</x:v>
      </x:c>
      <x:c r="P61" s="22" t="n">
        <x:v>0</x:v>
      </x:c>
      <x:c r="Q61" s="22" t="n">
        <x:v>0</x:v>
      </x:c>
      <x:c r="R61" s="17" t="n">
        <x:v>5</x:v>
      </x:c>
      <x:c r="S61" s="22" t="n">
        <x:v>6</x:v>
      </x:c>
      <x:c r="T61" s="24" t="n">
        <x:v>0.7</x:v>
      </x:c>
      <x:c r="U61" s="24" t="n">
        <x:f>IFERROR(O61/T61,0)</x:f>
        <x:v>0</x:v>
      </x:c>
      <x:c r="V61" s="17" t="str">
        <x:f>IF(O61&lt;=0,"out_of_stock",IF(U61&lt;7,"critical_low_stock",IF(U61&gt;60,"overstock","in_stock")))</x:f>
        <x:v>out_of_stock</x:v>
      </x:c>
      <x:c r="W61" s="17" t="str">
        <x:f>IF(O61&lt;=0,"OOS",IF(AND(U61&lt;7,AC61&gt;=0.5),"High Risk",IF(U61&lt;14,"Medium Risk",IF(U61&gt;60,"Overstock","Healthy"))))</x:f>
        <x:v>OOS</x:v>
      </x:c>
      <x:c r="X61" s="22" t="n">
        <x:v>1321</x:v>
      </x:c>
      <x:c r="Y61" s="22" t="n">
        <x:v>19</x:v>
      </x:c>
      <x:c r="Z61" s="22" t="n">
        <x:v>0</x:v>
      </x:c>
      <x:c r="AA61" s="24" t="n">
        <x:f>IFERROR(Y61/X61*100,0)</x:f>
        <x:v>1.4383043149129449</x:v>
      </x:c>
      <x:c r="AB61" s="26" t="n">
        <x:v>27</x:v>
      </x:c>
      <x:c r="AC61" s="24" t="n">
        <x:f>IFERROR(Z61/X61*100,0)</x:f>
        <x:v>0</x:v>
      </x:c>
      <x:c r="AD61" s="26" t="n">
        <x:v>166</x:v>
      </x:c>
      <x:c r="AE61" s="22" t="n">
        <x:f>IFERROR(Z61*M61,0)</x:f>
        <x:v>0</x:v>
      </x:c>
      <x:c r="AF61" s="26" t="n">
        <x:v>170.4</x:v>
      </x:c>
      <x:c r="AG61" s="24" t="n">
        <x:v>86</x:v>
      </x:c>
      <x:c r="AH61" s="26" t="n">
        <x:v>-1.5</x:v>
      </x:c>
      <x:c r="AI61" s="22" t="n">
        <x:v>17</x:v>
      </x:c>
      <x:c r="AJ61" s="22" t="n">
        <x:v>8</x:v>
      </x:c>
      <x:c r="AK61" s="22" t="n">
        <x:v>5</x:v>
      </x:c>
      <x:c r="AL61" s="22" t="n">
        <x:v>4</x:v>
      </x:c>
      <x:c r="AM61" s="22" t="n">
        <x:v>3</x:v>
      </x:c>
      <x:c r="AN61" s="24" t="n">
        <x:f>IFERROR(AI61/X61*100,0)</x:f>
        <x:v>1.2869038607115821</x:v>
      </x:c>
      <x:c r="AO61" s="24" t="n">
        <x:f>IFERROR(AJ61/X61*100,0)</x:f>
        <x:v>0.6056018168054504</x:v>
      </x:c>
      <x:c r="AP61" s="24" t="n">
        <x:f>IFERROR(AK61/X61*100,0)</x:f>
        <x:v>0.3785011355034065</x:v>
      </x:c>
      <x:c r="AQ61" s="24" t="n">
        <x:f>IFERROR(AL61/X61*100,0)</x:f>
        <x:v>0.3028009084027252</x:v>
      </x:c>
      <x:c r="AR61" s="24" t="n">
        <x:f>IFERROR(AM61/X61*100,0)</x:f>
        <x:v>0.22710068130204392</x:v>
      </x:c>
      <x:c r="AS61" s="24" t="n">
        <x:f>IFERROR(Z61/X61*100,0)</x:f>
        <x:v>0</x:v>
      </x:c>
      <x:c r="AT61" s="26" t="n">
        <x:v>-5.2</x:v>
      </x:c>
      <x:c r="AU61" s="26" t="n">
        <x:v>25</x:v>
      </x:c>
      <x:c r="AV61" s="26" t="n">
        <x:v>16.8</x:v>
      </x:c>
      <x:c r="AW61" s="26" t="n">
        <x:v>-27.3</x:v>
      </x:c>
      <x:c r="AX61" s="26" t="n">
        <x:v>-6.8</x:v>
      </x:c>
      <x:c r="AY61" s="26" t="n">
        <x:v>-4.6</x:v>
      </x:c>
      <x:c r="AZ61" s="26" t="n">
        <x:v>-27.9</x:v>
      </x:c>
      <x:c r="BA61" s="26" t="n">
        <x:v>166</x:v>
      </x:c>
      <x:c r="BB61" s="22" t="n">
        <x:f>IFERROR(AE61/Z61,0)</x:f>
        <x:v>0</x:v>
      </x:c>
      <x:c r="BC61" s="17" t="n">
        <x:f>IF(OR(V61="out_of_stock",V61="critical_low_stock"),MAX(0,(14-U61)*T61),0)</x:f>
        <x:v>9.799999999999999</x:v>
      </x:c>
      <x:c r="BD61" s="22" t="n">
        <x:f>IFERROR(BC61*M61,0)</x:f>
        <x:v>348438.99999999994</x:v>
      </x:c>
      <x:c r="BE61" s="17" t="str">
        <x:v>stock_sales_behavior</x:v>
      </x:c>
      <x:c r="BF61" s="17" t="str">
        <x:v>copied_from_uploaded_product2 + synthetic_stock</x:v>
      </x:c>
    </x:row>
    <x:row r="62">
      <x:c r="A62" s="17" t="n">
        <x:v>61</x:v>
      </x:c>
      <x:c r="B62" s="17" t="str">
        <x:v>PRODUCT_STOCK_BEHAVIOR</x:v>
      </x:c>
      <x:c r="C62" s="20" t="n">
        <x:v>46148</x:v>
      </x:c>
      <x:c r="D62" s="17" t="str">
        <x:v>App</x:v>
      </x:c>
      <x:c r="E62" s="17" t="str">
        <x:v>Desktop</x:v>
      </x:c>
      <x:c r="F62" s="17" t="str">
        <x:v>Price Comparison</x:v>
      </x:c>
      <x:c r="G62" s="17" t="n">
        <x:v>7</x:v>
      </x:c>
      <x:c r="H62" s="17" t="str">
        <x:v>APPLE</x:v>
      </x:c>
      <x:c r="I62" s="17" t="str">
        <x:v>Telefon</x:v>
      </x:c>
      <x:c r="J62" s="17" t="str">
        <x:v>Kulaklıklar</x:v>
      </x:c>
      <x:c r="K62" s="17" t="str">
        <x:v>APPLE EarPods Kablolu Kulak İçi Kulaklık MYQY3TU/A</x:v>
      </x:c>
      <x:c r="L62" s="17" t="str">
        <x:v>1239458</x:v>
      </x:c>
      <x:c r="M62" s="22" t="n">
        <x:v>3752</x:v>
      </x:c>
      <x:c r="N62" s="26" t="n">
        <x:v>12.5</x:v>
      </x:c>
      <x:c r="O62" s="22" t="n">
        <x:v>328</x:v>
      </x:c>
      <x:c r="P62" s="22" t="n">
        <x:v>500</x:v>
      </x:c>
      <x:c r="Q62" s="22" t="n">
        <x:v>0</x:v>
      </x:c>
      <x:c r="R62" s="17" t="n">
        <x:v>14</x:v>
      </x:c>
      <x:c r="S62" s="22" t="n">
        <x:v>152</x:v>
      </x:c>
      <x:c r="T62" s="24" t="n">
        <x:v>8.9</x:v>
      </x:c>
      <x:c r="U62" s="24" t="n">
        <x:f>IFERROR(O62/T62,0)</x:f>
        <x:v>36.853932584269664</x:v>
      </x:c>
      <x:c r="V62" s="17" t="str">
        <x:f>IF(O62&lt;=0,"out_of_stock",IF(U62&lt;7,"critical_low_stock",IF(U62&gt;60,"overstock","in_stock")))</x:f>
        <x:v>in_stock</x:v>
      </x:c>
      <x:c r="W62" s="17" t="str">
        <x:f>IF(O62&lt;=0,"OOS",IF(AND(U62&lt;7,AC62&gt;=0.5),"High Risk",IF(U62&lt;14,"Medium Risk",IF(U62&gt;60,"Overstock","Healthy"))))</x:f>
        <x:v>Healthy</x:v>
      </x:c>
      <x:c r="X62" s="22" t="n">
        <x:v>1317</x:v>
      </x:c>
      <x:c r="Y62" s="22" t="n">
        <x:v>180</x:v>
      </x:c>
      <x:c r="Z62" s="22" t="n">
        <x:v>49</x:v>
      </x:c>
      <x:c r="AA62" s="24" t="n">
        <x:f>IFERROR(Y62/X62*100,0)</x:f>
        <x:v>13.66742596810934</x:v>
      </x:c>
      <x:c r="AB62" s="26" t="n">
        <x:v>-7.9</x:v>
      </x:c>
      <x:c r="AC62" s="24" t="n">
        <x:f>IFERROR(Z62/X62*100,0)</x:f>
        <x:v>3.7205770690964313</x:v>
      </x:c>
      <x:c r="AD62" s="26" t="n">
        <x:v>5</x:v>
      </x:c>
      <x:c r="AE62" s="22" t="n">
        <x:f>IFERROR(Z62*M62,0)</x:f>
        <x:v>183848</x:v>
      </x:c>
      <x:c r="AF62" s="26" t="n">
        <x:v>18.8</x:v>
      </x:c>
      <x:c r="AG62" s="24" t="n">
        <x:v>65</x:v>
      </x:c>
      <x:c r="AH62" s="26" t="n">
        <x:v>-6.2</x:v>
      </x:c>
      <x:c r="AI62" s="22" t="n">
        <x:v>110</x:v>
      </x:c>
      <x:c r="AJ62" s="22" t="n">
        <x:v>70</x:v>
      </x:c>
      <x:c r="AK62" s="22" t="n">
        <x:v>37</x:v>
      </x:c>
      <x:c r="AL62" s="22" t="n">
        <x:v>25</x:v>
      </x:c>
      <x:c r="AM62" s="22" t="n">
        <x:v>49</x:v>
      </x:c>
      <x:c r="AN62" s="24" t="n">
        <x:f>IFERROR(AI62/X62*100,0)</x:f>
        <x:v>8.352315869400153</x:v>
      </x:c>
      <x:c r="AO62" s="24" t="n">
        <x:f>IFERROR(AJ62/X62*100,0)</x:f>
        <x:v>5.315110098709187</x:v>
      </x:c>
      <x:c r="AP62" s="24" t="n">
        <x:f>IFERROR(AK62/X62*100,0)</x:f>
        <x:v>2.809415337889142</x:v>
      </x:c>
      <x:c r="AQ62" s="24" t="n">
        <x:f>IFERROR(AL62/X62*100,0)</x:f>
        <x:v>1.8982536066818527</x:v>
      </x:c>
      <x:c r="AR62" s="24" t="n">
        <x:f>IFERROR(AM62/X62*100,0)</x:f>
        <x:v>3.7205770690964313</x:v>
      </x:c>
      <x:c r="AS62" s="24" t="n">
        <x:f>IFERROR(Z62/X62*100,0)</x:f>
        <x:v>3.7205770690964313</x:v>
      </x:c>
      <x:c r="AT62" s="26" t="n">
        <x:v>2.5</x:v>
      </x:c>
      <x:c r="AU62" s="26" t="n">
        <x:v>-7.9</x:v>
      </x:c>
      <x:c r="AV62" s="26" t="n">
        <x:v>-12.4</x:v>
      </x:c>
      <x:c r="AW62" s="26" t="n">
        <x:v>-7.1</x:v>
      </x:c>
      <x:c r="AX62" s="26" t="n">
        <x:v>-16</x:v>
      </x:c>
      <x:c r="AY62" s="26" t="n">
        <x:v>-5.7</x:v>
      </x:c>
      <x:c r="AZ62" s="26" t="n">
        <x:v>-22.3</x:v>
      </x:c>
      <x:c r="BA62" s="26" t="n">
        <x:v>8.6</x:v>
      </x:c>
      <x:c r="BB62" s="22" t="n">
        <x:f>IFERROR(AE62/Z62,0)</x:f>
        <x:v>3752</x:v>
      </x:c>
      <x:c r="BC62" s="17" t="n">
        <x:f>IF(OR(V62="out_of_stock",V62="critical_low_stock"),MAX(0,(14-U62)*T62),0)</x:f>
        <x:v>0</x:v>
      </x:c>
      <x:c r="BD62" s="22" t="n">
        <x:f>IFERROR(BC62*M62,0)</x:f>
        <x:v>0</x:v>
      </x:c>
      <x:c r="BE62" s="17" t="str">
        <x:v>stock_sales_behavior</x:v>
      </x:c>
      <x:c r="BF62" s="17" t="str">
        <x:v>copied_from_uploaded_product2 + synthetic_stock</x:v>
      </x:c>
    </x:row>
    <x:row r="63">
      <x:c r="A63" s="17" t="n">
        <x:v>62</x:v>
      </x:c>
      <x:c r="B63" s="17" t="str">
        <x:v>PRODUCT_STOCK_BEHAVIOR</x:v>
      </x:c>
      <x:c r="C63" s="20" t="n">
        <x:v>46149</x:v>
      </x:c>
      <x:c r="D63" s="17" t="str">
        <x:v>Web</x:v>
      </x:c>
      <x:c r="E63" s="17" t="str">
        <x:v>Mobile</x:v>
      </x:c>
      <x:c r="F63" s="17" t="str">
        <x:v>CRM</x:v>
      </x:c>
      <x:c r="G63" s="17" t="n">
        <x:v>26</x:v>
      </x:c>
      <x:c r="H63" s="17" t="str">
        <x:v>LOGITECH</x:v>
      </x:c>
      <x:c r="I63" s="17" t="str">
        <x:v>Bilgisayar</x:v>
      </x:c>
      <x:c r="J63" s="17" t="str">
        <x:v>Oyuncu Aksesuarları</x:v>
      </x:c>
      <x:c r="K63" s="17" t="str">
        <x:v>LOGITECH G G733 Lightspeed RGB Kablosuz 7.1 Surround Ses Oyuncu Kulaklığı - Siyah</x:v>
      </x:c>
      <x:c r="L63" s="17" t="str">
        <x:v>1212895</x:v>
      </x:c>
      <x:c r="M63" s="22" t="n">
        <x:v>6358</x:v>
      </x:c>
      <x:c r="N63" s="26" t="n">
        <x:v>1.9</x:v>
      </x:c>
      <x:c r="O63" s="22" t="n">
        <x:v>596</x:v>
      </x:c>
      <x:c r="P63" s="22" t="n">
        <x:v>999</x:v>
      </x:c>
      <x:c r="Q63" s="22" t="n">
        <x:v>0</x:v>
      </x:c>
      <x:c r="R63" s="17" t="n">
        <x:v>3</x:v>
      </x:c>
      <x:c r="S63" s="22" t="n">
        <x:v>180</x:v>
      </x:c>
      <x:c r="T63" s="24" t="n">
        <x:v>29.9</x:v>
      </x:c>
      <x:c r="U63" s="24" t="n">
        <x:f>IFERROR(O63/T63,0)</x:f>
        <x:v>19.93311036789298</x:v>
      </x:c>
      <x:c r="V63" s="17" t="str">
        <x:f>IF(O63&lt;=0,"out_of_stock",IF(U63&lt;7,"critical_low_stock",IF(U63&gt;60,"overstock","in_stock")))</x:f>
        <x:v>in_stock</x:v>
      </x:c>
      <x:c r="W63" s="17" t="str">
        <x:f>IF(O63&lt;=0,"OOS",IF(AND(U63&lt;7,AC63&gt;=0.5),"High Risk",IF(U63&lt;14,"Medium Risk",IF(U63&gt;60,"Overstock","Healthy"))))</x:f>
        <x:v>Healthy</x:v>
      </x:c>
      <x:c r="X63" s="22" t="n">
        <x:v>1313</x:v>
      </x:c>
      <x:c r="Y63" s="22" t="n">
        <x:v>427</x:v>
      </x:c>
      <x:c r="Z63" s="22" t="n">
        <x:v>198</x:v>
      </x:c>
      <x:c r="AA63" s="24" t="n">
        <x:f>IFERROR(Y63/X63*100,0)</x:f>
        <x:v>32.52094440213252</x:v>
      </x:c>
      <x:c r="AB63" s="26" t="n">
        <x:v>-38.2</x:v>
      </x:c>
      <x:c r="AC63" s="24" t="n">
        <x:f>IFERROR(Z63/X63*100,0)</x:f>
        <x:v>15.07996953541508</x:v>
      </x:c>
      <x:c r="AD63" s="26" t="n">
        <x:v>-52.7</x:v>
      </x:c>
      <x:c r="AE63" s="22" t="n">
        <x:f>IFERROR(Z63*M63,0)</x:f>
        <x:v>1258884</x:v>
      </x:c>
      <x:c r="AF63" s="26" t="n">
        <x:v>126.2</x:v>
      </x:c>
      <x:c r="AG63" s="24" t="n">
        <x:v>50</x:v>
      </x:c>
      <x:c r="AH63" s="26" t="n">
        <x:v>-3</x:v>
      </x:c>
      <x:c r="AI63" s="22" t="n">
        <x:v>244</x:v>
      </x:c>
      <x:c r="AJ63" s="22" t="n">
        <x:v>96</x:v>
      </x:c>
      <x:c r="AK63" s="22" t="n">
        <x:v>89</x:v>
      </x:c>
      <x:c r="AL63" s="22" t="n">
        <x:v>82</x:v>
      </x:c>
      <x:c r="AM63" s="22" t="n">
        <x:v>198</x:v>
      </x:c>
      <x:c r="AN63" s="24" t="n">
        <x:f>IFERROR(AI63/X63*100,0)</x:f>
        <x:v>18.583396801218584</x:v>
      </x:c>
      <x:c r="AO63" s="24" t="n">
        <x:f>IFERROR(AJ63/X63*100,0)</x:f>
        <x:v>7.311500380807312</x:v>
      </x:c>
      <x:c r="AP63" s="24" t="n">
        <x:f>IFERROR(AK63/X63*100,0)</x:f>
        <x:v>6.778370144706779</x:v>
      </x:c>
      <x:c r="AQ63" s="24" t="n">
        <x:f>IFERROR(AL63/X63*100,0)</x:f>
        <x:v>6.245239908606245</x:v>
      </x:c>
      <x:c r="AR63" s="24" t="n">
        <x:f>IFERROR(AM63/X63*100,0)</x:f>
        <x:v>15.07996953541508</x:v>
      </x:c>
      <x:c r="AS63" s="24" t="n">
        <x:f>IFERROR(Z63/X63*100,0)</x:f>
        <x:v>15.07996953541508</x:v>
      </x:c>
      <x:c r="AT63" s="26" t="n">
        <x:v>320.8</x:v>
      </x:c>
      <x:c r="AU63" s="26" t="n">
        <x:v>135.2</x:v>
      </x:c>
      <x:c r="AV63" s="26" t="n">
        <x:v>140.1</x:v>
      </x:c>
      <x:c r="AW63" s="26" t="n">
        <x:v>-59.2</x:v>
      </x:c>
      <x:c r="AX63" s="26" t="n">
        <x:v>-6.7</x:v>
      </x:c>
      <x:c r="AY63" s="26" t="n">
        <x:v>6.7</x:v>
      </x:c>
      <x:c r="AZ63" s="26" t="n">
        <x:v>-12.5</x:v>
      </x:c>
      <x:c r="BA63" s="26" t="n">
        <x:v>130.6</x:v>
      </x:c>
      <x:c r="BB63" s="22" t="n">
        <x:f>IFERROR(AE63/Z63,0)</x:f>
        <x:v>6358</x:v>
      </x:c>
      <x:c r="BC63" s="17" t="n">
        <x:f>IF(OR(V63="out_of_stock",V63="critical_low_stock"),MAX(0,(14-U63)*T63),0)</x:f>
        <x:v>0</x:v>
      </x:c>
      <x:c r="BD63" s="22" t="n">
        <x:f>IFERROR(BC63*M63,0)</x:f>
        <x:v>0</x:v>
      </x:c>
      <x:c r="BE63" s="17" t="str">
        <x:v>stock_sales_behavior</x:v>
      </x:c>
      <x:c r="BF63" s="17" t="str">
        <x:v>copied_from_uploaded_product2 + synthetic_stock</x:v>
      </x:c>
    </x:row>
    <x:row r="64">
      <x:c r="A64" s="17" t="n">
        <x:v>63</x:v>
      </x:c>
      <x:c r="B64" s="17" t="str">
        <x:v>PRODUCT_STOCK_BEHAVIOR</x:v>
      </x:c>
      <x:c r="C64" s="20" t="n">
        <x:v>46150</x:v>
      </x:c>
      <x:c r="D64" s="17" t="str">
        <x:v>Mobile Web</x:v>
      </x:c>
      <x:c r="E64" s="17" t="str">
        <x:v>Mobile</x:v>
      </x:c>
      <x:c r="F64" s="17" t="str">
        <x:v>Direct</x:v>
      </x:c>
      <x:c r="G64" s="17" t="n">
        <x:v>28</x:v>
      </x:c>
      <x:c r="H64" s="17" t="str">
        <x:v>SAMSUNG</x:v>
      </x:c>
      <x:c r="I64" s="17" t="str">
        <x:v>Telefon</x:v>
      </x:c>
      <x:c r="J64" s="17" t="str">
        <x:v>Cep Telefonları</x:v>
      </x:c>
      <x:c r="K64" s="17" t="str">
        <x:v>SAMSUNG Galaxy S26 Ultra 5G 12/512 GB Akıllı Telefon Kobalt Siyah</x:v>
      </x:c>
      <x:c r="L64" s="17" t="str">
        <x:v>1252473</x:v>
      </x:c>
      <x:c r="M64" s="22" t="n">
        <x:v>50210</x:v>
      </x:c>
      <x:c r="N64" s="26" t="n">
        <x:v>-16.8</x:v>
      </x:c>
      <x:c r="O64" s="22" t="n">
        <x:v>205</x:v>
      </x:c>
      <x:c r="P64" s="22" t="n">
        <x:v>182</x:v>
      </x:c>
      <x:c r="Q64" s="22" t="n">
        <x:v>0</x:v>
      </x:c>
      <x:c r="R64" s="17" t="n">
        <x:v>3</x:v>
      </x:c>
      <x:c r="S64" s="22" t="n">
        <x:v>14</x:v>
      </x:c>
      <x:c r="T64" s="24" t="n">
        <x:v>2.2</x:v>
      </x:c>
      <x:c r="U64" s="24" t="n">
        <x:f>IFERROR(O64/T64,0)</x:f>
        <x:v>93.18181818181817</x:v>
      </x:c>
      <x:c r="V64" s="17" t="str">
        <x:f>IF(O64&lt;=0,"out_of_stock",IF(U64&lt;7,"critical_low_stock",IF(U64&gt;60,"overstock","in_stock")))</x:f>
        <x:v>overstock</x:v>
      </x:c>
      <x:c r="W64" s="17" t="str">
        <x:f>IF(O64&lt;=0,"OOS",IF(AND(U64&lt;7,AC64&gt;=0.5),"High Risk",IF(U64&lt;14,"Medium Risk",IF(U64&gt;60,"Overstock","Healthy"))))</x:f>
        <x:v>Overstock</x:v>
      </x:c>
      <x:c r="X64" s="22" t="n">
        <x:v>1310</x:v>
      </x:c>
      <x:c r="Y64" s="22" t="n">
        <x:v>94</x:v>
      </x:c>
      <x:c r="Z64" s="22" t="n">
        <x:v>1</x:v>
      </x:c>
      <x:c r="AA64" s="24" t="n">
        <x:f>IFERROR(Y64/X64*100,0)</x:f>
        <x:v>7.175572519083969</x:v>
      </x:c>
      <x:c r="AB64" s="26" t="n">
        <x:v>9</x:v>
      </x:c>
      <x:c r="AC64" s="24" t="n">
        <x:f>IFERROR(Z64/X64*100,0)</x:f>
        <x:v>0.07633587786259542</x:v>
      </x:c>
      <x:c r="AD64" s="26" t="n">
        <x:v>-4.2</x:v>
      </x:c>
      <x:c r="AE64" s="22" t="n">
        <x:f>IFERROR(Z64*M64,0)</x:f>
        <x:v>50210</x:v>
      </x:c>
      <x:c r="AF64" s="26" t="n">
        <x:v>-23.1</x:v>
      </x:c>
      <x:c r="AG64" s="24" t="n">
        <x:v>48</x:v>
      </x:c>
      <x:c r="AH64" s="26" t="n">
        <x:v>-1.9</x:v>
      </x:c>
      <x:c r="AI64" s="22" t="n">
        <x:v>55</x:v>
      </x:c>
      <x:c r="AJ64" s="22" t="n">
        <x:v>24</x:v>
      </x:c>
      <x:c r="AK64" s="22" t="n">
        <x:v>17</x:v>
      </x:c>
      <x:c r="AL64" s="22" t="n">
        <x:v>13</x:v>
      </x:c>
      <x:c r="AM64" s="22" t="n">
        <x:v>9</x:v>
      </x:c>
      <x:c r="AN64" s="24" t="n">
        <x:f>IFERROR(AI64/X64*100,0)</x:f>
        <x:v>4.198473282442748</x:v>
      </x:c>
      <x:c r="AO64" s="24" t="n">
        <x:f>IFERROR(AJ64/X64*100,0)</x:f>
        <x:v>1.8320610687022902</x:v>
      </x:c>
      <x:c r="AP64" s="24" t="n">
        <x:f>IFERROR(AK64/X64*100,0)</x:f>
        <x:v>1.297709923664122</x:v>
      </x:c>
      <x:c r="AQ64" s="24" t="n">
        <x:f>IFERROR(AL64/X64*100,0)</x:f>
        <x:v>0.9923664122137404</x:v>
      </x:c>
      <x:c r="AR64" s="24" t="n">
        <x:f>IFERROR(AM64/X64*100,0)</x:f>
        <x:v>0.6870229007633588</x:v>
      </x:c>
      <x:c r="AS64" s="24" t="n">
        <x:f>IFERROR(Z64/X64*100,0)</x:f>
        <x:v>0.07633587786259542</x:v>
      </x:c>
      <x:c r="AT64" s="26" t="n">
        <x:v>6.6</x:v>
      </x:c>
      <x:c r="AU64" s="26" t="n">
        <x:v>16.9</x:v>
      </x:c>
      <x:c r="AV64" s="26" t="n">
        <x:v>10.3</x:v>
      </x:c>
      <x:c r="AW64" s="26" t="n">
        <x:v>10.3</x:v>
      </x:c>
      <x:c r="AX64" s="26" t="n">
        <x:v>-3.9</x:v>
      </x:c>
      <x:c r="AY64" s="26" t="n">
        <x:v>6</x:v>
      </x:c>
      <x:c r="AZ64" s="26" t="n">
        <x:v>-18.7</x:v>
      </x:c>
      <x:c r="BA64" s="26" t="n">
        <x:v>0</x:v>
      </x:c>
      <x:c r="BB64" s="22" t="n">
        <x:f>IFERROR(AE64/Z64,0)</x:f>
        <x:v>50210</x:v>
      </x:c>
      <x:c r="BC64" s="17" t="n">
        <x:f>IF(OR(V64="out_of_stock",V64="critical_low_stock"),MAX(0,(14-U64)*T64),0)</x:f>
        <x:v>0</x:v>
      </x:c>
      <x:c r="BD64" s="22" t="n">
        <x:f>IFERROR(BC64*M64,0)</x:f>
        <x:v>0</x:v>
      </x:c>
      <x:c r="BE64" s="17" t="str">
        <x:v>stock_sales_behavior</x:v>
      </x:c>
      <x:c r="BF64" s="17" t="str">
        <x:v>copied_from_uploaded_product2 + synthetic_stock</x:v>
      </x:c>
    </x:row>
    <x:row r="65">
      <x:c r="A65" s="17" t="n">
        <x:v>64</x:v>
      </x:c>
      <x:c r="B65" s="17" t="str">
        <x:v>PRODUCT_STOCK_BEHAVIOR</x:v>
      </x:c>
      <x:c r="C65" s="20" t="n">
        <x:v>46151</x:v>
      </x:c>
      <x:c r="D65" s="17" t="str">
        <x:v>App</x:v>
      </x:c>
      <x:c r="E65" s="17" t="str">
        <x:v>App</x:v>
      </x:c>
      <x:c r="F65" s="17" t="str">
        <x:v>Search Organic Generic</x:v>
      </x:c>
      <x:c r="G65" s="17" t="n">
        <x:v>28</x:v>
      </x:c>
      <x:c r="H65" s="17" t="str">
        <x:v>APPLE</x:v>
      </x:c>
      <x:c r="I65" s="17" t="str">
        <x:v>Telefon</x:v>
      </x:c>
      <x:c r="J65" s="17" t="str">
        <x:v>Cep Telefonları</x:v>
      </x:c>
      <x:c r="K65" s="17" t="str">
        <x:v>APPLE iPhone 14 Pro Max 512GB Akıllı Telefon Silver MQAH3TU/A</x:v>
      </x:c>
      <x:c r="L65" s="17" t="str">
        <x:v>1223411</x:v>
      </x:c>
      <x:c r="M65" s="22" t="n">
        <x:v>89155</x:v>
      </x:c>
      <x:c r="N65" s="26" t="n">
        <x:v>18</x:v>
      </x:c>
      <x:c r="O65" s="22" t="n">
        <x:v>64</x:v>
      </x:c>
      <x:c r="P65" s="22" t="n">
        <x:v>20</x:v>
      </x:c>
      <x:c r="Q65" s="22" t="n">
        <x:v>0</x:v>
      </x:c>
      <x:c r="R65" s="17" t="n">
        <x:v>14</x:v>
      </x:c>
      <x:c r="S65" s="22" t="n">
        <x:v>12</x:v>
      </x:c>
      <x:c r="T65" s="24" t="n">
        <x:v>0.7</x:v>
      </x:c>
      <x:c r="U65" s="24" t="n">
        <x:f>IFERROR(O65/T65,0)</x:f>
        <x:v>91.42857142857143</x:v>
      </x:c>
      <x:c r="V65" s="17" t="str">
        <x:f>IF(O65&lt;=0,"out_of_stock",IF(U65&lt;7,"critical_low_stock",IF(U65&gt;60,"overstock","in_stock")))</x:f>
        <x:v>overstock</x:v>
      </x:c>
      <x:c r="W65" s="17" t="str">
        <x:f>IF(O65&lt;=0,"OOS",IF(AND(U65&lt;7,AC65&gt;=0.5),"High Risk",IF(U65&lt;14,"Medium Risk",IF(U65&gt;60,"Overstock","Healthy"))))</x:f>
        <x:v>Overstock</x:v>
      </x:c>
      <x:c r="X65" s="22" t="n">
        <x:v>1266</x:v>
      </x:c>
      <x:c r="Y65" s="22" t="n">
        <x:v>0</x:v>
      </x:c>
      <x:c r="Z65" s="22" t="n">
        <x:v>0</x:v>
      </x:c>
      <x:c r="AA65" s="24" t="n">
        <x:f>IFERROR(Y65/X65*100,0)</x:f>
        <x:v>0</x:v>
      </x:c>
      <x:c r="AB65" s="26" t="n">
        <x:v>166</x:v>
      </x:c>
      <x:c r="AC65" s="24" t="n">
        <x:f>IFERROR(Z65/X65*100,0)</x:f>
        <x:v>0</x:v>
      </x:c>
      <x:c r="AD65" s="26" t="n">
        <x:v>166</x:v>
      </x:c>
      <x:c r="AE65" s="22" t="n">
        <x:f>IFERROR(Z65*M65,0)</x:f>
        <x:v>0</x:v>
      </x:c>
      <x:c r="AF65" s="26" t="n">
        <x:v>188</x:v>
      </x:c>
      <x:c r="AG65" s="24" t="n">
        <x:v>51</x:v>
      </x:c>
      <x:c r="AH65" s="26" t="n">
        <x:v>-5.8</x:v>
      </x:c>
      <x:c r="AI65" s="22" t="n">
        <x:v>0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4" t="n">
        <x:f>IFERROR(AI65/X65*100,0)</x:f>
        <x:v>0</x:v>
      </x:c>
      <x:c r="AO65" s="24" t="n">
        <x:f>IFERROR(AJ65/X65*100,0)</x:f>
        <x:v>0</x:v>
      </x:c>
      <x:c r="AP65" s="24" t="n">
        <x:f>IFERROR(AK65/X65*100,0)</x:f>
        <x:v>0</x:v>
      </x:c>
      <x:c r="AQ65" s="24" t="n">
        <x:f>IFERROR(AL65/X65*100,0)</x:f>
        <x:v>0</x:v>
      </x:c>
      <x:c r="AR65" s="24" t="n">
        <x:f>IFERROR(AM65/X65*100,0)</x:f>
        <x:v>0</x:v>
      </x:c>
      <x:c r="AS65" s="24" t="n">
        <x:f>IFERROR(Z65/X65*100,0)</x:f>
        <x:v>0</x:v>
      </x:c>
      <x:c r="AT65" s="26" t="n">
        <x:v>4.5</x:v>
      </x:c>
      <x:c r="AU65" s="26" t="n">
        <x:v>166</x:v>
      </x:c>
      <x:c r="AV65" s="26" t="n">
        <x:v>174.1</x:v>
      </x:c>
      <x:c r="AW65" s="26" t="n">
        <x:v>-43.6</x:v>
      </x:c>
      <x:c r="AX65" s="26" t="n">
        <x:v>5.5</x:v>
      </x:c>
      <x:c r="AY65" s="26" t="n">
        <x:v>11.9</x:v>
      </x:c>
      <x:c r="AZ65" s="26" t="n">
        <x:v>1.7</x:v>
      </x:c>
      <x:c r="BA65" s="26" t="n">
        <x:v>166</x:v>
      </x:c>
      <x:c r="BB65" s="22" t="n">
        <x:f>IFERROR(AE65/Z65,0)</x:f>
        <x:v>0</x:v>
      </x:c>
      <x:c r="BC65" s="17" t="n">
        <x:f>IF(OR(V65="out_of_stock",V65="critical_low_stock"),MAX(0,(14-U65)*T65),0)</x:f>
        <x:v>0</x:v>
      </x:c>
      <x:c r="BD65" s="22" t="n">
        <x:f>IFERROR(BC65*M65,0)</x:f>
        <x:v>0</x:v>
      </x:c>
      <x:c r="BE65" s="17" t="str">
        <x:v>stock_sales_behavior</x:v>
      </x:c>
      <x:c r="BF65" s="17" t="str">
        <x:v>copied_from_uploaded_product2 + synthetic_stock</x:v>
      </x:c>
    </x:row>
    <x:row r="66">
      <x:c r="A66" s="17" t="n">
        <x:v>65</x:v>
      </x:c>
      <x:c r="B66" s="17" t="str">
        <x:v>PRODUCT_STOCK_BEHAVIOR</x:v>
      </x:c>
      <x:c r="C66" s="20" t="n">
        <x:v>46152</x:v>
      </x:c>
      <x:c r="D66" s="17" t="str">
        <x:v>Mobile Web</x:v>
      </x:c>
      <x:c r="E66" s="17" t="str">
        <x:v>App</x:v>
      </x:c>
      <x:c r="F66" s="17" t="str">
        <x:v>Direct</x:v>
      </x:c>
      <x:c r="G66" s="17" t="n">
        <x:v>21</x:v>
      </x:c>
      <x:c r="H66" s="17" t="str">
        <x:v>DJI</x:v>
      </x:c>
      <x:c r="I66" s="17" t="str">
        <x:v>Foto &amp; Kamera &amp; Drone</x:v>
      </x:c>
      <x:c r="J66" s="17" t="str">
        <x:v>Drone</x:v>
      </x:c>
      <x:c r="K66" s="17" t="str">
        <x:v>DJI Osmo Pocket 4 Standard Combo Gimbal</x:v>
      </x:c>
      <x:c r="L66" s="17" t="str">
        <x:v>1254264</x:v>
      </x:c>
      <x:c r="M66" s="22" t="n">
        <x:v>9742</x:v>
      </x:c>
      <x:c r="N66" s="26" t="n">
        <x:v>-15.4</x:v>
      </x:c>
      <x:c r="O66" s="22" t="n">
        <x:v>37</x:v>
      </x:c>
      <x:c r="P66" s="22" t="n">
        <x:v>50</x:v>
      </x:c>
      <x:c r="Q66" s="22" t="n">
        <x:v>0</x:v>
      </x:c>
      <x:c r="R66" s="17" t="n">
        <x:v>5</x:v>
      </x:c>
      <x:c r="S66" s="22" t="n">
        <x:v>8</x:v>
      </x:c>
      <x:c r="T66" s="24" t="n">
        <x:v>1</x:v>
      </x:c>
      <x:c r="U66" s="24" t="n">
        <x:f>IFERROR(O66/T66,0)</x:f>
        <x:v>37</x:v>
      </x:c>
      <x:c r="V66" s="17" t="str">
        <x:f>IF(O66&lt;=0,"out_of_stock",IF(U66&lt;7,"critical_low_stock",IF(U66&gt;60,"overstock","in_stock")))</x:f>
        <x:v>in_stock</x:v>
      </x:c>
      <x:c r="W66" s="17" t="str">
        <x:f>IF(O66&lt;=0,"OOS",IF(AND(U66&lt;7,AC66&gt;=0.5),"High Risk",IF(U66&lt;14,"Medium Risk",IF(U66&gt;60,"Overstock","Healthy"))))</x:f>
        <x:v>Healthy</x:v>
      </x:c>
      <x:c r="X66" s="22" t="n">
        <x:v>1238</x:v>
      </x:c>
      <x:c r="Y66" s="22" t="n">
        <x:v>31</x:v>
      </x:c>
      <x:c r="Z66" s="22" t="n">
        <x:v>2</x:v>
      </x:c>
      <x:c r="AA66" s="24" t="n">
        <x:f>IFERROR(Y66/X66*100,0)</x:f>
        <x:v>2.504038772213247</x:v>
      </x:c>
      <x:c r="AB66" s="26" t="n">
        <x:v>5.5</x:v>
      </x:c>
      <x:c r="AC66" s="24" t="n">
        <x:f>IFERROR(Z66/X66*100,0)</x:f>
        <x:v>0.16155088852988692</x:v>
      </x:c>
      <x:c r="AD66" s="26" t="n">
        <x:v>166</x:v>
      </x:c>
      <x:c r="AE66" s="22" t="n">
        <x:f>IFERROR(Z66*M66,0)</x:f>
        <x:v>19484</x:v>
      </x:c>
      <x:c r="AF66" s="26" t="n">
        <x:v>158.4</x:v>
      </x:c>
      <x:c r="AG66" s="24" t="n">
        <x:v>69</x:v>
      </x:c>
      <x:c r="AH66" s="26" t="n">
        <x:v>-1.6</x:v>
      </x:c>
      <x:c r="AI66" s="22" t="n">
        <x:v>25</x:v>
      </x:c>
      <x:c r="AJ66" s="22" t="n">
        <x:v>9</x:v>
      </x:c>
      <x:c r="AK66" s="22" t="n">
        <x:v>8</x:v>
      </x:c>
      <x:c r="AL66" s="22" t="n">
        <x:v>7</x:v>
      </x:c>
      <x:c r="AM66" s="22" t="n">
        <x:v>5</x:v>
      </x:c>
      <x:c r="AN66" s="24" t="n">
        <x:f>IFERROR(AI66/X66*100,0)</x:f>
        <x:v>2.0193861066235863</x:v>
      </x:c>
      <x:c r="AO66" s="24" t="n">
        <x:f>IFERROR(AJ66/X66*100,0)</x:f>
        <x:v>0.7269789983844911</x:v>
      </x:c>
      <x:c r="AP66" s="24" t="n">
        <x:f>IFERROR(AK66/X66*100,0)</x:f>
        <x:v>0.6462035541195477</x:v>
      </x:c>
      <x:c r="AQ66" s="24" t="n">
        <x:f>IFERROR(AL66/X66*100,0)</x:f>
        <x:v>0.5654281098546041</x:v>
      </x:c>
      <x:c r="AR66" s="24" t="n">
        <x:f>IFERROR(AM66/X66*100,0)</x:f>
        <x:v>0.40387722132471726</x:v>
      </x:c>
      <x:c r="AS66" s="24" t="n">
        <x:f>IFERROR(Z66/X66*100,0)</x:f>
        <x:v>0.16155088852988692</x:v>
      </x:c>
      <x:c r="AT66" s="26" t="n">
        <x:v>15.3</x:v>
      </x:c>
      <x:c r="AU66" s="26" t="n">
        <x:v>12</x:v>
      </x:c>
      <x:c r="AV66" s="26" t="n">
        <x:v>19.3</x:v>
      </x:c>
      <x:c r="AW66" s="26" t="n">
        <x:v>-18.6</x:v>
      </x:c>
      <x:c r="AX66" s="26" t="n">
        <x:v>-14.7</x:v>
      </x:c>
      <x:c r="AY66" s="26" t="n">
        <x:v>-21.9</x:v>
      </x:c>
      <x:c r="AZ66" s="26" t="n">
        <x:v>-15.1</x:v>
      </x:c>
      <x:c r="BA66" s="26" t="n">
        <x:v>166</x:v>
      </x:c>
      <x:c r="BB66" s="22" t="n">
        <x:f>IFERROR(AE66/Z66,0)</x:f>
        <x:v>9742</x:v>
      </x:c>
      <x:c r="BC66" s="17" t="n">
        <x:f>IF(OR(V66="out_of_stock",V66="critical_low_stock"),MAX(0,(14-U66)*T66),0)</x:f>
        <x:v>0</x:v>
      </x:c>
      <x:c r="BD66" s="22" t="n">
        <x:f>IFERROR(BC66*M66,0)</x:f>
        <x:v>0</x:v>
      </x:c>
      <x:c r="BE66" s="17" t="str">
        <x:v>stock_sales_behavior</x:v>
      </x:c>
      <x:c r="BF66" s="17" t="str">
        <x:v>copied_from_uploaded_product2 + synthetic_stock</x:v>
      </x:c>
    </x:row>
    <x:row r="67">
      <x:c r="A67" s="17" t="n">
        <x:v>66</x:v>
      </x:c>
      <x:c r="B67" s="17" t="str">
        <x:v>PRODUCT_STOCK_BEHAVIOR</x:v>
      </x:c>
      <x:c r="C67" s="20" t="n">
        <x:v>46153</x:v>
      </x:c>
      <x:c r="D67" s="17" t="str">
        <x:v>Mobile Web</x:v>
      </x:c>
      <x:c r="E67" s="17" t="str">
        <x:v>App</x:v>
      </x:c>
      <x:c r="F67" s="17" t="str">
        <x:v>Affiliate</x:v>
      </x:c>
      <x:c r="G67" s="17" t="n">
        <x:v>21</x:v>
      </x:c>
      <x:c r="H67" s="17" t="str">
        <x:v>DJI</x:v>
      </x:c>
      <x:c r="I67" s="17" t="str">
        <x:v>Foto &amp; Kamera &amp; Drone</x:v>
      </x:c>
      <x:c r="J67" s="17" t="str">
        <x:v>Drone</x:v>
      </x:c>
      <x:c r="K67" s="17" t="str">
        <x:v>DJI Osmo Action 5 Pro Adventure Combo</x:v>
      </x:c>
      <x:c r="L67" s="17" t="str">
        <x:v>1240427</x:v>
      </x:c>
      <x:c r="M67" s="22" t="n">
        <x:v>11922</x:v>
      </x:c>
      <x:c r="N67" s="26" t="n">
        <x:v>15.8</x:v>
      </x:c>
      <x:c r="O67" s="22" t="n">
        <x:v>14</x:v>
      </x:c>
      <x:c r="P67" s="22" t="n">
        <x:v>9</x:v>
      </x:c>
      <x:c r="Q67" s="22" t="n">
        <x:v>30</x:v>
      </x:c>
      <x:c r="R67" s="17" t="n">
        <x:v>7</x:v>
      </x:c>
      <x:c r="S67" s="22" t="n">
        <x:v>33</x:v>
      </x:c>
      <x:c r="T67" s="24" t="n">
        <x:v>3.3</x:v>
      </x:c>
      <x:c r="U67" s="24" t="n">
        <x:f>IFERROR(O67/T67,0)</x:f>
        <x:v>4.242424242424242</x:v>
      </x:c>
      <x:c r="V67" s="17" t="str">
        <x:f>IF(O67&lt;=0,"out_of_stock",IF(U67&lt;7,"critical_low_stock",IF(U67&gt;60,"overstock","in_stock")))</x:f>
        <x:v>critical_low_stock</x:v>
      </x:c>
      <x:c r="W67" s="17" t="str">
        <x:f>IF(O67&lt;=0,"OOS",IF(AND(U67&lt;7,AC67&gt;=0.5),"High Risk",IF(U67&lt;14,"Medium Risk",IF(U67&gt;60,"Overstock","Healthy"))))</x:f>
        <x:v>High Risk</x:v>
      </x:c>
      <x:c r="X67" s="22" t="n">
        <x:v>1229</x:v>
      </x:c>
      <x:c r="Y67" s="22" t="n">
        <x:v>91</x:v>
      </x:c>
      <x:c r="Z67" s="22" t="n">
        <x:v>13</x:v>
      </x:c>
      <x:c r="AA67" s="24" t="n">
        <x:f>IFERROR(Y67/X67*100,0)</x:f>
        <x:v>7.404393816110659</x:v>
      </x:c>
      <x:c r="AB67" s="26" t="n">
        <x:v>63.5</x:v>
      </x:c>
      <x:c r="AC67" s="24" t="n">
        <x:f>IFERROR(Z67/X67*100,0)</x:f>
        <x:v>1.0577705451586654</x:v>
      </x:c>
      <x:c r="AD67" s="26" t="n">
        <x:v>51.9</x:v>
      </x:c>
      <x:c r="AE67" s="22" t="n">
        <x:f>IFERROR(Z67*M67,0)</x:f>
        <x:v>154986</x:v>
      </x:c>
      <x:c r="AF67" s="26" t="n">
        <x:v>82.7</x:v>
      </x:c>
      <x:c r="AG67" s="24" t="n">
        <x:v>60</x:v>
      </x:c>
      <x:c r="AH67" s="26" t="n">
        <x:v>-5.8</x:v>
      </x:c>
      <x:c r="AI67" s="22" t="n">
        <x:v>80</x:v>
      </x:c>
      <x:c r="AJ67" s="22" t="n">
        <x:v>27</x:v>
      </x:c>
      <x:c r="AK67" s="22" t="n">
        <x:v>24</x:v>
      </x:c>
      <x:c r="AL67" s="22" t="n">
        <x:v>23</x:v>
      </x:c>
      <x:c r="AM67" s="22" t="n">
        <x:v>16</x:v>
      </x:c>
      <x:c r="AN67" s="24" t="n">
        <x:f>IFERROR(AI67/X67*100,0)</x:f>
        <x:v>6.509357200976404</x:v>
      </x:c>
      <x:c r="AO67" s="24" t="n">
        <x:f>IFERROR(AJ67/X67*100,0)</x:f>
        <x:v>2.196908055329536</x:v>
      </x:c>
      <x:c r="AP67" s="24" t="n">
        <x:f>IFERROR(AK67/X67*100,0)</x:f>
        <x:v>1.9528071602929211</x:v>
      </x:c>
      <x:c r="AQ67" s="24" t="n">
        <x:f>IFERROR(AL67/X67*100,0)</x:f>
        <x:v>1.8714401952807163</x:v>
      </x:c>
      <x:c r="AR67" s="24" t="n">
        <x:f>IFERROR(AM67/X67*100,0)</x:f>
        <x:v>1.3018714401952807</x:v>
      </x:c>
      <x:c r="AS67" s="24" t="n">
        <x:f>IFERROR(Z67/X67*100,0)</x:f>
        <x:v>1.0577705451586654</x:v>
      </x:c>
      <x:c r="AT67" s="26" t="n">
        <x:v>12</x:v>
      </x:c>
      <x:c r="AU67" s="26" t="n">
        <x:v>54</x:v>
      </x:c>
      <x:c r="AV67" s="26" t="n">
        <x:v>63.1</x:v>
      </x:c>
      <x:c r="AW67" s="26" t="n">
        <x:v>-8.5</x:v>
      </x:c>
      <x:c r="AX67" s="26" t="n">
        <x:v>-18.6</x:v>
      </x:c>
      <x:c r="AY67" s="26" t="n">
        <x:v>15.9</x:v>
      </x:c>
      <x:c r="AZ67" s="26" t="n">
        <x:v>-9.3</x:v>
      </x:c>
      <x:c r="BA67" s="26" t="n">
        <x:v>66.7</x:v>
      </x:c>
      <x:c r="BB67" s="22" t="n">
        <x:f>IFERROR(AE67/Z67,0)</x:f>
        <x:v>11922</x:v>
      </x:c>
      <x:c r="BC67" s="17" t="n">
        <x:f>IF(OR(V67="out_of_stock",V67="critical_low_stock"),MAX(0,(14-U67)*T67),0)</x:f>
        <x:v>32.199999999999996</x:v>
      </x:c>
      <x:c r="BD67" s="22" t="n">
        <x:f>IFERROR(BC67*M67,0)</x:f>
        <x:v>383888.39999999997</x:v>
      </x:c>
      <x:c r="BE67" s="17" t="str">
        <x:v>stock_sales_behavior</x:v>
      </x:c>
      <x:c r="BF67" s="17" t="str">
        <x:v>copied_from_uploaded_product2 + synthetic_stock</x:v>
      </x:c>
    </x:row>
    <x:row r="68">
      <x:c r="A68" s="17" t="n">
        <x:v>67</x:v>
      </x:c>
      <x:c r="B68" s="17" t="str">
        <x:v>PRODUCT_STOCK_BEHAVIOR</x:v>
      </x:c>
      <x:c r="C68" s="20" t="n">
        <x:v>46154</x:v>
      </x:c>
      <x:c r="D68" s="17" t="str">
        <x:v>App</x:v>
      </x:c>
      <x:c r="E68" s="17" t="str">
        <x:v>Desktop</x:v>
      </x:c>
      <x:c r="F68" s="17" t="str">
        <x:v>CRM</x:v>
      </x:c>
      <x:c r="G68" s="17" t="n">
        <x:v>29</x:v>
      </x:c>
      <x:c r="H68" s="17" t="str">
        <x:v>APPLE</x:v>
      </x:c>
      <x:c r="I68" s="17" t="str">
        <x:v>Telefon</x:v>
      </x:c>
      <x:c r="J68" s="17" t="str">
        <x:v>Telefon Aksesuarları</x:v>
      </x:c>
      <x:c r="K68" s="17" t="str">
        <x:v>APPLE MD3J4TU/A 20W USB-C Güç Adaptörü</x:v>
      </x:c>
      <x:c r="L68" s="17" t="str">
        <x:v>1245474</x:v>
      </x:c>
      <x:c r="M68" s="22" t="n">
        <x:v>2042</x:v>
      </x:c>
      <x:c r="N68" s="26" t="n">
        <x:v>-5.5</x:v>
      </x:c>
      <x:c r="O68" s="22" t="n">
        <x:v>738</x:v>
      </x:c>
      <x:c r="P68" s="22" t="n">
        <x:v>646</x:v>
      </x:c>
      <x:c r="Q68" s="22" t="n">
        <x:v>0</x:v>
      </x:c>
      <x:c r="R68" s="17" t="n">
        <x:v>5</x:v>
      </x:c>
      <x:c r="S68" s="22" t="n">
        <x:v>112</x:v>
      </x:c>
      <x:c r="T68" s="24" t="n">
        <x:v>13.9</x:v>
      </x:c>
      <x:c r="U68" s="24" t="n">
        <x:f>IFERROR(O68/T68,0)</x:f>
        <x:v>53.093525179856115</x:v>
      </x:c>
      <x:c r="V68" s="17" t="str">
        <x:f>IF(O68&lt;=0,"out_of_stock",IF(U68&lt;7,"critical_low_stock",IF(U68&gt;60,"overstock","in_stock")))</x:f>
        <x:v>in_stock</x:v>
      </x:c>
      <x:c r="W68" s="17" t="str">
        <x:f>IF(O68&lt;=0,"OOS",IF(AND(U68&lt;7,AC68&gt;=0.5),"High Risk",IF(U68&lt;14,"Medium Risk",IF(U68&gt;60,"Overstock","Healthy"))))</x:f>
        <x:v>Healthy</x:v>
      </x:c>
      <x:c r="X68" s="22" t="n">
        <x:v>1217</x:v>
      </x:c>
      <x:c r="Y68" s="22" t="n">
        <x:v>721</x:v>
      </x:c>
      <x:c r="Z68" s="22" t="n">
        <x:v>89</x:v>
      </x:c>
      <x:c r="AA68" s="24" t="n">
        <x:f>IFERROR(Y68/X68*100,0)</x:f>
        <x:v>59.24404272801972</x:v>
      </x:c>
      <x:c r="AB68" s="26" t="n">
        <x:v>6.9</x:v>
      </x:c>
      <x:c r="AC68" s="24" t="n">
        <x:f>IFERROR(Z68/X68*100,0)</x:f>
        <x:v>7.313064913722268</x:v>
      </x:c>
      <x:c r="AD68" s="26" t="n">
        <x:v>-5.4</x:v>
      </x:c>
      <x:c r="AE68" s="22" t="n">
        <x:f>IFERROR(Z68*M68,0)</x:f>
        <x:v>181738</x:v>
      </x:c>
      <x:c r="AF68" s="26" t="n">
        <x:v>-23.5</x:v>
      </x:c>
      <x:c r="AG68" s="24" t="n">
        <x:v>72</x:v>
      </x:c>
      <x:c r="AH68" s="26" t="n">
        <x:v>-9.4</x:v>
      </x:c>
      <x:c r="AI68" s="22" t="n">
        <x:v>630</x:v>
      </x:c>
      <x:c r="AJ68" s="22" t="n">
        <x:v>426</x:v>
      </x:c>
      <x:c r="AK68" s="22" t="n">
        <x:v>401</x:v>
      </x:c>
      <x:c r="AL68" s="22" t="n">
        <x:v>272</x:v>
      </x:c>
      <x:c r="AM68" s="22" t="n">
        <x:v>197</x:v>
      </x:c>
      <x:c r="AN68" s="24" t="n">
        <x:f>IFERROR(AI68/X68*100,0)</x:f>
        <x:v>51.76663927691043</x:v>
      </x:c>
      <x:c r="AO68" s="24" t="n">
        <x:f>IFERROR(AJ68/X68*100,0)</x:f>
        <x:v>35.004108463434676</x:v>
      </x:c>
      <x:c r="AP68" s="24" t="n">
        <x:f>IFERROR(AK68/X68*100,0)</x:f>
        <x:v>32.94987674609696</x:v>
      </x:c>
      <x:c r="AQ68" s="24" t="n">
        <x:f>IFERROR(AL68/X68*100,0)</x:f>
        <x:v>22.35004108463435</x:v>
      </x:c>
      <x:c r="AR68" s="24" t="n">
        <x:f>IFERROR(AM68/X68*100,0)</x:f>
        <x:v>16.1873459326212</x:v>
      </x:c>
      <x:c r="AS68" s="24" t="n">
        <x:f>IFERROR(Z68/X68*100,0)</x:f>
        <x:v>7.313064913722268</x:v>
      </x:c>
      <x:c r="AT68" s="26" t="n">
        <x:v>6.1</x:v>
      </x:c>
      <x:c r="AU68" s="26" t="n">
        <x:v>8.7</x:v>
      </x:c>
      <x:c r="AV68" s="26" t="n">
        <x:v>9.2</x:v>
      </x:c>
      <x:c r="AW68" s="26" t="n">
        <x:v>-20.1</x:v>
      </x:c>
      <x:c r="AX68" s="26" t="n">
        <x:v>-7.3</x:v>
      </x:c>
      <x:c r="AY68" s="26" t="n">
        <x:v>16.3</x:v>
      </x:c>
      <x:c r="AZ68" s="26" t="n">
        <x:v>-17.6</x:v>
      </x:c>
      <x:c r="BA68" s="26" t="n">
        <x:v>-4.2</x:v>
      </x:c>
      <x:c r="BB68" s="22" t="n">
        <x:f>IFERROR(AE68/Z68,0)</x:f>
        <x:v>2042</x:v>
      </x:c>
      <x:c r="BC68" s="17" t="n">
        <x:f>IF(OR(V68="out_of_stock",V68="critical_low_stock"),MAX(0,(14-U68)*T68),0)</x:f>
        <x:v>0</x:v>
      </x:c>
      <x:c r="BD68" s="22" t="n">
        <x:f>IFERROR(BC68*M68,0)</x:f>
        <x:v>0</x:v>
      </x:c>
      <x:c r="BE68" s="17" t="str">
        <x:v>stock_sales_behavior</x:v>
      </x:c>
      <x:c r="BF68" s="17" t="str">
        <x:v>copied_from_uploaded_product2 + synthetic_stock</x:v>
      </x:c>
    </x:row>
    <x:row r="69">
      <x:c r="A69" s="17" t="n">
        <x:v>68</x:v>
      </x:c>
      <x:c r="B69" s="17" t="str">
        <x:v>PRODUCT_STOCK_BEHAVIOR</x:v>
      </x:c>
      <x:c r="C69" s="20" t="n">
        <x:v>46155</x:v>
      </x:c>
      <x:c r="D69" s="17" t="str">
        <x:v>Web</x:v>
      </x:c>
      <x:c r="E69" s="17" t="str">
        <x:v>Desktop</x:v>
      </x:c>
      <x:c r="F69" s="17" t="str">
        <x:v>Search Paid Generic</x:v>
      </x:c>
      <x:c r="G69" s="17" t="n">
        <x:v>34</x:v>
      </x:c>
      <x:c r="H69" s="17" t="str">
        <x:v>DYSON</x:v>
      </x:c>
      <x:c r="I69" s="17" t="str">
        <x:v>Ev Aletleri &amp; Yaşam</x:v>
      </x:c>
      <x:c r="J69" s="17" t="str">
        <x:v>Süpürgeler</x:v>
      </x:c>
      <x:c r="K69" s="17" t="str">
        <x:v>DYSON V16 Piston Animal Kablosuz Şarjlı Dikey Süpürge Mat Siyah</x:v>
      </x:c>
      <x:c r="L69" s="17" t="str">
        <x:v>1250521</x:v>
      </x:c>
      <x:c r="M69" s="22" t="n">
        <x:v>32175</x:v>
      </x:c>
      <x:c r="N69" s="26" t="n">
        <x:v>10.6</x:v>
      </x:c>
      <x:c r="O69" s="22" t="n">
        <x:v>20</x:v>
      </x:c>
      <x:c r="P69" s="22" t="n">
        <x:v>6</x:v>
      </x:c>
      <x:c r="Q69" s="22" t="n">
        <x:v>0</x:v>
      </x:c>
      <x:c r="R69" s="17" t="n">
        <x:v>21</x:v>
      </x:c>
      <x:c r="S69" s="22" t="n">
        <x:v>12</x:v>
      </x:c>
      <x:c r="T69" s="24" t="n">
        <x:v>0.5</x:v>
      </x:c>
      <x:c r="U69" s="24" t="n">
        <x:f>IFERROR(O69/T69,0)</x:f>
        <x:v>40</x:v>
      </x:c>
      <x:c r="V69" s="17" t="str">
        <x:f>IF(O69&lt;=0,"out_of_stock",IF(U69&lt;7,"critical_low_stock",IF(U69&gt;60,"overstock","in_stock")))</x:f>
        <x:v>in_stock</x:v>
      </x:c>
      <x:c r="W69" s="17" t="str">
        <x:f>IF(O69&lt;=0,"OOS",IF(AND(U69&lt;7,AC69&gt;=0.5),"High Risk",IF(U69&lt;14,"Medium Risk",IF(U69&gt;60,"Overstock","Healthy"))))</x:f>
        <x:v>Healthy</x:v>
      </x:c>
      <x:c r="X69" s="22" t="n">
        <x:v>1205</x:v>
      </x:c>
      <x:c r="Y69" s="22" t="n">
        <x:v>79</x:v>
      </x:c>
      <x:c r="Z69" s="22" t="n">
        <x:v>2</x:v>
      </x:c>
      <x:c r="AA69" s="24" t="n">
        <x:f>IFERROR(Y69/X69*100,0)</x:f>
        <x:v>6.556016597510374</x:v>
      </x:c>
      <x:c r="AB69" s="26" t="n">
        <x:v>5.1</x:v>
      </x:c>
      <x:c r="AC69" s="24" t="n">
        <x:f>IFERROR(Z69/X69*100,0)</x:f>
        <x:v>0.16597510373443983</x:v>
      </x:c>
      <x:c r="AD69" s="26" t="n">
        <x:v>-54.7</x:v>
      </x:c>
      <x:c r="AE69" s="22" t="n">
        <x:f>IFERROR(Z69*M69,0)</x:f>
        <x:v>64350</x:v>
      </x:c>
      <x:c r="AF69" s="26" t="n">
        <x:v>-20.1</x:v>
      </x:c>
      <x:c r="AG69" s="24" t="n">
        <x:v>67</x:v>
      </x:c>
      <x:c r="AH69" s="26" t="n">
        <x:v>-4.5</x:v>
      </x:c>
      <x:c r="AI69" s="22" t="n">
        <x:v>46</x:v>
      </x:c>
      <x:c r="AJ69" s="22" t="n">
        <x:v>28</x:v>
      </x:c>
      <x:c r="AK69" s="22" t="n">
        <x:v>18</x:v>
      </x:c>
      <x:c r="AL69" s="22" t="n">
        <x:v>16</x:v>
      </x:c>
      <x:c r="AM69" s="22" t="n">
        <x:v>12</x:v>
      </x:c>
      <x:c r="AN69" s="24" t="n">
        <x:f>IFERROR(AI69/X69*100,0)</x:f>
        <x:v>3.8174273858921164</x:v>
      </x:c>
      <x:c r="AO69" s="24" t="n">
        <x:f>IFERROR(AJ69/X69*100,0)</x:f>
        <x:v>2.323651452282158</x:v>
      </x:c>
      <x:c r="AP69" s="24" t="n">
        <x:f>IFERROR(AK69/X69*100,0)</x:f>
        <x:v>1.4937759336099585</x:v>
      </x:c>
      <x:c r="AQ69" s="24" t="n">
        <x:f>IFERROR(AL69/X69*100,0)</x:f>
        <x:v>1.3278008298755186</x:v>
      </x:c>
      <x:c r="AR69" s="24" t="n">
        <x:f>IFERROR(AM69/X69*100,0)</x:f>
        <x:v>0.9958506224066389</x:v>
      </x:c>
      <x:c r="AS69" s="24" t="n">
        <x:f>IFERROR(Z69/X69*100,0)</x:f>
        <x:v>0.16597510373443983</x:v>
      </x:c>
      <x:c r="AT69" s="26" t="n">
        <x:v>28.9</x:v>
      </x:c>
      <x:c r="AU69" s="26" t="n">
        <x:v>13.6</x:v>
      </x:c>
      <x:c r="AV69" s="26" t="n">
        <x:v>15.3</x:v>
      </x:c>
      <x:c r="AW69" s="26" t="n">
        <x:v>-62.3</x:v>
      </x:c>
      <x:c r="AX69" s="26" t="n">
        <x:v>-7.8</x:v>
      </x:c>
      <x:c r="AY69" s="26" t="n">
        <x:v>18.5</x:v>
      </x:c>
      <x:c r="AZ69" s="26" t="n">
        <x:v>-3.6</x:v>
      </x:c>
      <x:c r="BA69" s="26" t="n">
        <x:v>-42.9</x:v>
      </x:c>
      <x:c r="BB69" s="22" t="n">
        <x:f>IFERROR(AE69/Z69,0)</x:f>
        <x:v>32175</x:v>
      </x:c>
      <x:c r="BC69" s="17" t="n">
        <x:f>IF(OR(V69="out_of_stock",V69="critical_low_stock"),MAX(0,(14-U69)*T69),0)</x:f>
        <x:v>0</x:v>
      </x:c>
      <x:c r="BD69" s="22" t="n">
        <x:f>IFERROR(BC69*M69,0)</x:f>
        <x:v>0</x:v>
      </x:c>
      <x:c r="BE69" s="17" t="str">
        <x:v>stock_sales_behavior</x:v>
      </x:c>
      <x:c r="BF69" s="17" t="str">
        <x:v>copied_from_uploaded_product2 + synthetic_stock</x:v>
      </x:c>
    </x:row>
    <x:row r="70">
      <x:c r="A70" s="17" t="n">
        <x:v>69</x:v>
      </x:c>
      <x:c r="B70" s="17" t="str">
        <x:v>PRODUCT_STOCK_BEHAVIOR</x:v>
      </x:c>
      <x:c r="C70" s="20" t="n">
        <x:v>46156</x:v>
      </x:c>
      <x:c r="D70" s="17" t="str">
        <x:v>App</x:v>
      </x:c>
      <x:c r="E70" s="17" t="str">
        <x:v>Mobile</x:v>
      </x:c>
      <x:c r="F70" s="17" t="str">
        <x:v>Price Comparison</x:v>
      </x:c>
      <x:c r="G70" s="17" t="n">
        <x:v>99</x:v>
      </x:c>
      <x:c r="H70" s="17" t="str">
        <x:v>ONVO</x:v>
      </x:c>
      <x:c r="I70" s="17" t="str">
        <x:v>Other</x:v>
      </x:c>
      <x:c r="J70" s="17" t="str">
        <x:v>Other</x:v>
      </x:c>
      <x:c r="K70" s="17" t="str">
        <x:v>ONVO OV-013 X-Plus 2000 W Elektrikli Scooter Siyah</x:v>
      </x:c>
      <x:c r="L70" s="17" t="str">
        <x:v>1245818</x:v>
      </x:c>
      <x:c r="M70" s="22" t="n">
        <x:v>14843</x:v>
      </x:c>
      <x:c r="N70" s="26" t="n">
        <x:v>-14.2</x:v>
      </x:c>
      <x:c r="O70" s="22" t="n">
        <x:v>45</x:v>
      </x:c>
      <x:c r="P70" s="22" t="n">
        <x:v>34</x:v>
      </x:c>
      <x:c r="Q70" s="22" t="n">
        <x:v>0</x:v>
      </x:c>
      <x:c r="R70" s="17" t="n">
        <x:v>3</x:v>
      </x:c>
      <x:c r="S70" s="22" t="n">
        <x:v>12</x:v>
      </x:c>
      <x:c r="T70" s="24" t="n">
        <x:v>1.9</x:v>
      </x:c>
      <x:c r="U70" s="24" t="n">
        <x:f>IFERROR(O70/T70,0)</x:f>
        <x:v>23.68421052631579</x:v>
      </x:c>
      <x:c r="V70" s="17" t="str">
        <x:f>IF(O70&lt;=0,"out_of_stock",IF(U70&lt;7,"critical_low_stock",IF(U70&gt;60,"overstock","in_stock")))</x:f>
        <x:v>in_stock</x:v>
      </x:c>
      <x:c r="W70" s="17" t="str">
        <x:f>IF(O70&lt;=0,"OOS",IF(AND(U70&lt;7,AC70&gt;=0.5),"High Risk",IF(U70&lt;14,"Medium Risk",IF(U70&gt;60,"Overstock","Healthy"))))</x:f>
        <x:v>Healthy</x:v>
      </x:c>
      <x:c r="X70" s="22" t="n">
        <x:v>1191</x:v>
      </x:c>
      <x:c r="Y70" s="22" t="n">
        <x:v>78</x:v>
      </x:c>
      <x:c r="Z70" s="22" t="n">
        <x:v>1</x:v>
      </x:c>
      <x:c r="AA70" s="24" t="n">
        <x:f>IFERROR(Y70/X70*100,0)</x:f>
        <x:v>6.54911838790932</x:v>
      </x:c>
      <x:c r="AB70" s="26" t="n">
        <x:v>-24.5</x:v>
      </x:c>
      <x:c r="AC70" s="24" t="n">
        <x:f>IFERROR(Z70/X70*100,0)</x:f>
        <x:v>0.08396305625524769</x:v>
      </x:c>
      <x:c r="AD70" s="26" t="n">
        <x:v>166</x:v>
      </x:c>
      <x:c r="AE70" s="22" t="n">
        <x:f>IFERROR(Z70*M70,0)</x:f>
        <x:v>14843</x:v>
      </x:c>
      <x:c r="AF70" s="26" t="n">
        <x:v>157.4</x:v>
      </x:c>
      <x:c r="AG70" s="24" t="n">
        <x:v>64</x:v>
      </x:c>
      <x:c r="AH70" s="26" t="n">
        <x:v>-0.3</x:v>
      </x:c>
      <x:c r="AI70" s="22" t="n">
        <x:v>68</x:v>
      </x:c>
      <x:c r="AJ70" s="22" t="n">
        <x:v>45</x:v>
      </x:c>
      <x:c r="AK70" s="22" t="n">
        <x:v>36</x:v>
      </x:c>
      <x:c r="AL70" s="22" t="n">
        <x:v>34</x:v>
      </x:c>
      <x:c r="AM70" s="22" t="n">
        <x:v>26</x:v>
      </x:c>
      <x:c r="AN70" s="24" t="n">
        <x:f>IFERROR(AI70/X70*100,0)</x:f>
        <x:v>5.7094878253568435</x:v>
      </x:c>
      <x:c r="AO70" s="24" t="n">
        <x:f>IFERROR(AJ70/X70*100,0)</x:f>
        <x:v>3.7783375314861463</x:v>
      </x:c>
      <x:c r="AP70" s="24" t="n">
        <x:f>IFERROR(AK70/X70*100,0)</x:f>
        <x:v>3.022670025188917</x:v>
      </x:c>
      <x:c r="AQ70" s="24" t="n">
        <x:f>IFERROR(AL70/X70*100,0)</x:f>
        <x:v>2.8547439126784218</x:v>
      </x:c>
      <x:c r="AR70" s="24" t="n">
        <x:f>IFERROR(AM70/X70*100,0)</x:f>
        <x:v>2.18303946263644</x:v>
      </x:c>
      <x:c r="AS70" s="24" t="n">
        <x:f>IFERROR(Z70/X70*100,0)</x:f>
        <x:v>0.08396305625524769</x:v>
      </x:c>
      <x:c r="AT70" s="26" t="n">
        <x:v>6.1</x:v>
      </x:c>
      <x:c r="AU70" s="26" t="n">
        <x:v>-19.4</x:v>
      </x:c>
      <x:c r="AV70" s="26" t="n">
        <x:v>-19.2</x:v>
      </x:c>
      <x:c r="AW70" s="26" t="n">
        <x:v>-73.4</x:v>
      </x:c>
      <x:c r="AX70" s="26" t="n">
        <x:v>-9.2</x:v>
      </x:c>
      <x:c r="AY70" s="26" t="n">
        <x:v>17.8</x:v>
      </x:c>
      <x:c r="AZ70" s="26" t="n">
        <x:v>-19.6</x:v>
      </x:c>
      <x:c r="BA70" s="26" t="n">
        <x:v>166</x:v>
      </x:c>
      <x:c r="BB70" s="22" t="n">
        <x:f>IFERROR(AE70/Z70,0)</x:f>
        <x:v>14843</x:v>
      </x:c>
      <x:c r="BC70" s="17" t="n">
        <x:f>IF(OR(V70="out_of_stock",V70="critical_low_stock"),MAX(0,(14-U70)*T70),0)</x:f>
        <x:v>0</x:v>
      </x:c>
      <x:c r="BD70" s="22" t="n">
        <x:f>IFERROR(BC70*M70,0)</x:f>
        <x:v>0</x:v>
      </x:c>
      <x:c r="BE70" s="17" t="str">
        <x:v>stock_sales_behavior</x:v>
      </x:c>
      <x:c r="BF70" s="17" t="str">
        <x:v>copied_from_uploaded_product2 + synthetic_stock</x:v>
      </x:c>
    </x:row>
    <x:row r="71">
      <x:c r="A71" s="17" t="n">
        <x:v>70</x:v>
      </x:c>
      <x:c r="B71" s="17" t="str">
        <x:v>PRODUCT_STOCK_BEHAVIOR</x:v>
      </x:c>
      <x:c r="C71" s="20" t="n">
        <x:v>46143</x:v>
      </x:c>
      <x:c r="D71" s="17" t="str">
        <x:v>App</x:v>
      </x:c>
      <x:c r="E71" s="17" t="str">
        <x:v>Mobile</x:v>
      </x:c>
      <x:c r="F71" s="17" t="str">
        <x:v>Price Comparison</x:v>
      </x:c>
      <x:c r="G71" s="17" t="n">
        <x:v>99</x:v>
      </x:c>
      <x:c r="H71" s="17" t="str">
        <x:v>BOSCH</x:v>
      </x:c>
      <x:c r="I71" s="17" t="str">
        <x:v>Other</x:v>
      </x:c>
      <x:c r="J71" s="17" t="str">
        <x:v>Other</x:v>
      </x:c>
      <x:c r="K71" s="17" t="str">
        <x:v>BOSCH WGA25202TR A Enerji Sınıfı 10 kg 1200 Devir Çamaşır Makinesi Beyaz</x:v>
      </x:c>
      <x:c r="L71" s="17" t="str">
        <x:v>1245733</x:v>
      </x:c>
      <x:c r="M71" s="22" t="n">
        <x:v>27105</x:v>
      </x:c>
      <x:c r="N71" s="26" t="n">
        <x:v>1.9</x:v>
      </x:c>
      <x:c r="O71" s="22" t="n">
        <x:v>34</x:v>
      </x:c>
      <x:c r="P71" s="22" t="n">
        <x:v>22</x:v>
      </x:c>
      <x:c r="Q71" s="22" t="n">
        <x:v>0</x:v>
      </x:c>
      <x:c r="R71" s="17" t="n">
        <x:v>5</x:v>
      </x:c>
      <x:c r="S71" s="22" t="n">
        <x:v>16</x:v>
      </x:c>
      <x:c r="T71" s="24" t="n">
        <x:v>2</x:v>
      </x:c>
      <x:c r="U71" s="24" t="n">
        <x:f>IFERROR(O71/T71,0)</x:f>
        <x:v>17</x:v>
      </x:c>
      <x:c r="V71" s="17" t="str">
        <x:f>IF(O71&lt;=0,"out_of_stock",IF(U71&lt;7,"critical_low_stock",IF(U71&gt;60,"overstock","in_stock")))</x:f>
        <x:v>in_stock</x:v>
      </x:c>
      <x:c r="W71" s="17" t="str">
        <x:f>IF(O71&lt;=0,"OOS",IF(AND(U71&lt;7,AC71&gt;=0.5),"High Risk",IF(U71&lt;14,"Medium Risk",IF(U71&gt;60,"Overstock","Healthy"))))</x:f>
        <x:v>Healthy</x:v>
      </x:c>
      <x:c r="X71" s="22" t="n">
        <x:v>1190</x:v>
      </x:c>
      <x:c r="Y71" s="22" t="n">
        <x:v>170</x:v>
      </x:c>
      <x:c r="Z71" s="22" t="n">
        <x:v>10</x:v>
      </x:c>
      <x:c r="AA71" s="24" t="n">
        <x:f>IFERROR(Y71/X71*100,0)</x:f>
        <x:v>14.285714285714285</x:v>
      </x:c>
      <x:c r="AB71" s="26" t="n">
        <x:v>-6.6</x:v>
      </x:c>
      <x:c r="AC71" s="24" t="n">
        <x:f>IFERROR(Z71/X71*100,0)</x:f>
        <x:v>0.8403361344537815</x:v>
      </x:c>
      <x:c r="AD71" s="26" t="n">
        <x:v>-13.1</x:v>
      </x:c>
      <x:c r="AE71" s="22" t="n">
        <x:f>IFERROR(Z71*M71,0)</x:f>
        <x:v>271050</x:v>
      </x:c>
      <x:c r="AF71" s="26" t="n">
        <x:v>-4.3</x:v>
      </x:c>
      <x:c r="AG71" s="24" t="n">
        <x:v>63</x:v>
      </x:c>
      <x:c r="AH71" s="26" t="n">
        <x:v>-2.6</x:v>
      </x:c>
      <x:c r="AI71" s="22" t="n">
        <x:v>147</x:v>
      </x:c>
      <x:c r="AJ71" s="22" t="n">
        <x:v>78</x:v>
      </x:c>
      <x:c r="AK71" s="22" t="n">
        <x:v>58</x:v>
      </x:c>
      <x:c r="AL71" s="22" t="n">
        <x:v>53</x:v>
      </x:c>
      <x:c r="AM71" s="22" t="n">
        <x:v>35</x:v>
      </x:c>
      <x:c r="AN71" s="24" t="n">
        <x:f>IFERROR(AI71/X71*100,0)</x:f>
        <x:v>12.352941176470589</x:v>
      </x:c>
      <x:c r="AO71" s="24" t="n">
        <x:f>IFERROR(AJ71/X71*100,0)</x:f>
        <x:v>6.5546218487394965</x:v>
      </x:c>
      <x:c r="AP71" s="24" t="n">
        <x:f>IFERROR(AK71/X71*100,0)</x:f>
        <x:v>4.873949579831933</x:v>
      </x:c>
      <x:c r="AQ71" s="24" t="n">
        <x:f>IFERROR(AL71/X71*100,0)</x:f>
        <x:v>4.453781512605042</x:v>
      </x:c>
      <x:c r="AR71" s="24" t="n">
        <x:f>IFERROR(AM71/X71*100,0)</x:f>
        <x:v>2.941176470588235</x:v>
      </x:c>
      <x:c r="AS71" s="24" t="n">
        <x:f>IFERROR(Z71/X71*100,0)</x:f>
        <x:v>0.8403361344537815</x:v>
      </x:c>
      <x:c r="AT71" s="26" t="n">
        <x:v>1</x:v>
      </x:c>
      <x:c r="AU71" s="26" t="n">
        <x:v>7</x:v>
      </x:c>
      <x:c r="AV71" s="26" t="n">
        <x:v>0.1</x:v>
      </x:c>
      <x:c r="AW71" s="26" t="n">
        <x:v>-58.7</x:v>
      </x:c>
      <x:c r="AX71" s="26" t="n">
        <x:v>4.2</x:v>
      </x:c>
      <x:c r="AY71" s="26" t="n">
        <x:v>3.1</x:v>
      </x:c>
      <x:c r="AZ71" s="26" t="n">
        <x:v>5.6</x:v>
      </x:c>
      <x:c r="BA71" s="26" t="n">
        <x:v>-11.1</x:v>
      </x:c>
      <x:c r="BB71" s="22" t="n">
        <x:f>IFERROR(AE71/Z71,0)</x:f>
        <x:v>27105</x:v>
      </x:c>
      <x:c r="BC71" s="17" t="n">
        <x:f>IF(OR(V71="out_of_stock",V71="critical_low_stock"),MAX(0,(14-U71)*T71),0)</x:f>
        <x:v>0</x:v>
      </x:c>
      <x:c r="BD71" s="22" t="n">
        <x:f>IFERROR(BC71*M71,0)</x:f>
        <x:v>0</x:v>
      </x:c>
      <x:c r="BE71" s="17" t="str">
        <x:v>stock_sales_behavior</x:v>
      </x:c>
      <x:c r="BF71" s="17" t="str">
        <x:v>copied_from_uploaded_product2 + synthetic_stock</x:v>
      </x:c>
    </x:row>
    <x:row r="72">
      <x:c r="A72" s="17" t="n">
        <x:v>71</x:v>
      </x:c>
      <x:c r="B72" s="17" t="str">
        <x:v>PRODUCT_STOCK_BEHAVIOR</x:v>
      </x:c>
      <x:c r="C72" s="20" t="n">
        <x:v>46144</x:v>
      </x:c>
      <x:c r="D72" s="17" t="str">
        <x:v>Mobile Web</x:v>
      </x:c>
      <x:c r="E72" s="17" t="str">
        <x:v>Mobile</x:v>
      </x:c>
      <x:c r="F72" s="17" t="str">
        <x:v>Direct</x:v>
      </x:c>
      <x:c r="G72" s="17" t="n">
        <x:v>28</x:v>
      </x:c>
      <x:c r="H72" s="17" t="str">
        <x:v>XIAOMI</x:v>
      </x:c>
      <x:c r="I72" s="17" t="str">
        <x:v>Telefon</x:v>
      </x:c>
      <x:c r="J72" s="17" t="str">
        <x:v>Cep Telefonları</x:v>
      </x:c>
      <x:c r="K72" s="17" t="str">
        <x:v>XIAOMI Redmi 15C 8/256 GB Akıllı Telefon Siyah</x:v>
      </x:c>
      <x:c r="L72" s="17" t="str">
        <x:v>1248958</x:v>
      </x:c>
      <x:c r="M72" s="22" t="n">
        <x:v>25631</x:v>
      </x:c>
      <x:c r="N72" s="26" t="n">
        <x:v>-0.3</x:v>
      </x:c>
      <x:c r="O72" s="22" t="n">
        <x:v>51</x:v>
      </x:c>
      <x:c r="P72" s="22" t="n">
        <x:v>84</x:v>
      </x:c>
      <x:c r="Q72" s="22" t="n">
        <x:v>0</x:v>
      </x:c>
      <x:c r="R72" s="17" t="n">
        <x:v>21</x:v>
      </x:c>
      <x:c r="S72" s="22" t="n">
        <x:v>29</x:v>
      </x:c>
      <x:c r="T72" s="24" t="n">
        <x:v>1.2</x:v>
      </x:c>
      <x:c r="U72" s="24" t="n">
        <x:f>IFERROR(O72/T72,0)</x:f>
        <x:v>42.5</x:v>
      </x:c>
      <x:c r="V72" s="17" t="str">
        <x:f>IF(O72&lt;=0,"out_of_stock",IF(U72&lt;7,"critical_low_stock",IF(U72&gt;60,"overstock","in_stock")))</x:f>
        <x:v>in_stock</x:v>
      </x:c>
      <x:c r="W72" s="17" t="str">
        <x:f>IF(O72&lt;=0,"OOS",IF(AND(U72&lt;7,AC72&gt;=0.5),"High Risk",IF(U72&lt;14,"Medium Risk",IF(U72&gt;60,"Overstock","Healthy"))))</x:f>
        <x:v>Healthy</x:v>
      </x:c>
      <x:c r="X72" s="22" t="n">
        <x:v>1187</x:v>
      </x:c>
      <x:c r="Y72" s="22" t="n">
        <x:v>139</x:v>
      </x:c>
      <x:c r="Z72" s="22" t="n">
        <x:v>1</x:v>
      </x:c>
      <x:c r="AA72" s="24" t="n">
        <x:f>IFERROR(Y72/X72*100,0)</x:f>
        <x:v>11.710193765796124</x:v>
      </x:c>
      <x:c r="AB72" s="26" t="n">
        <x:v>6.5</x:v>
      </x:c>
      <x:c r="AC72" s="24" t="n">
        <x:f>IFERROR(Z72/X72*100,0)</x:f>
        <x:v>0.08424599831508003</x:v>
      </x:c>
      <x:c r="AD72" s="26" t="n">
        <x:v>-85.4</x:v>
      </x:c>
      <x:c r="AE72" s="22" t="n">
        <x:f>IFERROR(Z72*M72,0)</x:f>
        <x:v>25631</x:v>
      </x:c>
      <x:c r="AF72" s="26" t="n">
        <x:v>-69.6</x:v>
      </x:c>
      <x:c r="AG72" s="24" t="n">
        <x:v>64</x:v>
      </x:c>
      <x:c r="AH72" s="26" t="n">
        <x:v>7.6</x:v>
      </x:c>
      <x:c r="AI72" s="22" t="n">
        <x:v>110</x:v>
      </x:c>
      <x:c r="AJ72" s="22" t="n">
        <x:v>70</x:v>
      </x:c>
      <x:c r="AK72" s="22" t="n">
        <x:v>60</x:v>
      </x:c>
      <x:c r="AL72" s="22" t="n">
        <x:v>44</x:v>
      </x:c>
      <x:c r="AM72" s="22" t="n">
        <x:v>23</x:v>
      </x:c>
      <x:c r="AN72" s="24" t="n">
        <x:f>IFERROR(AI72/X72*100,0)</x:f>
        <x:v>9.267059814658804</x:v>
      </x:c>
      <x:c r="AO72" s="24" t="n">
        <x:f>IFERROR(AJ72/X72*100,0)</x:f>
        <x:v>5.8972198820556025</x:v>
      </x:c>
      <x:c r="AP72" s="24" t="n">
        <x:f>IFERROR(AK72/X72*100,0)</x:f>
        <x:v>5.054759898904802</x:v>
      </x:c>
      <x:c r="AQ72" s="24" t="n">
        <x:f>IFERROR(AL72/X72*100,0)</x:f>
        <x:v>3.7068239258635214</x:v>
      </x:c>
      <x:c r="AR72" s="24" t="n">
        <x:f>IFERROR(AM72/X72*100,0)</x:f>
        <x:v>1.9376579612468408</x:v>
      </x:c>
      <x:c r="AS72" s="24" t="n">
        <x:f>IFERROR(Z72/X72*100,0)</x:f>
        <x:v>0.08424599831508003</x:v>
      </x:c>
      <x:c r="AT72" s="26" t="n">
        <x:v>18.2</x:v>
      </x:c>
      <x:c r="AU72" s="26" t="n">
        <x:v>16.5</x:v>
      </x:c>
      <x:c r="AV72" s="26" t="n">
        <x:v>20.1</x:v>
      </x:c>
      <x:c r="AW72" s="26" t="n">
        <x:v>-23.7</x:v>
      </x:c>
      <x:c r="AX72" s="26" t="n">
        <x:v>-4.6</x:v>
      </x:c>
      <x:c r="AY72" s="26" t="n">
        <x:v>9.6</x:v>
      </x:c>
      <x:c r="AZ72" s="26" t="n">
        <x:v>0</x:v>
      </x:c>
      <x:c r="BA72" s="26" t="n">
        <x:v>-83.3</x:v>
      </x:c>
      <x:c r="BB72" s="22" t="n">
        <x:f>IFERROR(AE72/Z72,0)</x:f>
        <x:v>25631</x:v>
      </x:c>
      <x:c r="BC72" s="17" t="n">
        <x:f>IF(OR(V72="out_of_stock",V72="critical_low_stock"),MAX(0,(14-U72)*T72),0)</x:f>
        <x:v>0</x:v>
      </x:c>
      <x:c r="BD72" s="22" t="n">
        <x:f>IFERROR(BC72*M72,0)</x:f>
        <x:v>0</x:v>
      </x:c>
      <x:c r="BE72" s="17" t="str">
        <x:v>stock_sales_behavior</x:v>
      </x:c>
      <x:c r="BF72" s="17" t="str">
        <x:v>copied_from_uploaded_product2 + synthetic_stock</x:v>
      </x:c>
    </x:row>
    <x:row r="73">
      <x:c r="A73" s="17" t="n">
        <x:v>72</x:v>
      </x:c>
      <x:c r="B73" s="17" t="str">
        <x:v>PRODUCT_STOCK_BEHAVIOR</x:v>
      </x:c>
      <x:c r="C73" s="20" t="n">
        <x:v>46145</x:v>
      </x:c>
      <x:c r="D73" s="17" t="str">
        <x:v>Web</x:v>
      </x:c>
      <x:c r="E73" s="17" t="str">
        <x:v>Desktop</x:v>
      </x:c>
      <x:c r="F73" s="17" t="str">
        <x:v>CRM</x:v>
      </x:c>
      <x:c r="G73" s="17" t="n">
        <x:v>28</x:v>
      </x:c>
      <x:c r="H73" s="17" t="str">
        <x:v>SAMSUNG</x:v>
      </x:c>
      <x:c r="I73" s="17" t="str">
        <x:v>Telefon</x:v>
      </x:c>
      <x:c r="J73" s="17" t="str">
        <x:v>Cep Telefonları</x:v>
      </x:c>
      <x:c r="K73" s="17" t="str">
        <x:v>SAMSUNG Galaxy S25 FE 5G 8/256 GB Akıllı Telefon Beyaz</x:v>
      </x:c>
      <x:c r="L73" s="17" t="str">
        <x:v>1249059</x:v>
      </x:c>
      <x:c r="M73" s="22" t="n">
        <x:v>59958</x:v>
      </x:c>
      <x:c r="N73" s="26" t="n">
        <x:v>3.7</x:v>
      </x:c>
      <x:c r="O73" s="22" t="n">
        <x:v>13</x:v>
      </x:c>
      <x:c r="P73" s="22" t="n">
        <x:v>5</x:v>
      </x:c>
      <x:c r="Q73" s="22" t="n">
        <x:v>36</x:v>
      </x:c>
      <x:c r="R73" s="17" t="n">
        <x:v>5</x:v>
      </x:c>
      <x:c r="S73" s="22" t="n">
        <x:v>19</x:v>
      </x:c>
      <x:c r="T73" s="24" t="n">
        <x:v>2.3</x:v>
      </x:c>
      <x:c r="U73" s="24" t="n">
        <x:f>IFERROR(O73/T73,0)</x:f>
        <x:v>5.6521739130434785</x:v>
      </x:c>
      <x:c r="V73" s="17" t="str">
        <x:f>IF(O73&lt;=0,"out_of_stock",IF(U73&lt;7,"critical_low_stock",IF(U73&gt;60,"overstock","in_stock")))</x:f>
        <x:v>critical_low_stock</x:v>
      </x:c>
      <x:c r="W73" s="17" t="str">
        <x:f>IF(O73&lt;=0,"OOS",IF(AND(U73&lt;7,AC73&gt;=0.5),"High Risk",IF(U73&lt;14,"Medium Risk",IF(U73&gt;60,"Overstock","Healthy"))))</x:f>
        <x:v>Medium Risk</x:v>
      </x:c>
      <x:c r="X73" s="22" t="n">
        <x:v>1171</x:v>
      </x:c>
      <x:c r="Y73" s="22" t="n">
        <x:v>54</x:v>
      </x:c>
      <x:c r="Z73" s="22" t="n">
        <x:v>0</x:v>
      </x:c>
      <x:c r="AA73" s="24" t="n">
        <x:f>IFERROR(Y73/X73*100,0)</x:f>
        <x:v>4.611443210930828</x:v>
      </x:c>
      <x:c r="AB73" s="26" t="n">
        <x:v>45.7</x:v>
      </x:c>
      <x:c r="AC73" s="24" t="n">
        <x:f>IFERROR(Z73/X73*100,0)</x:f>
        <x:v>0</x:v>
      </x:c>
      <x:c r="AD73" s="26" t="n">
        <x:v>166</x:v>
      </x:c>
      <x:c r="AE73" s="22" t="n">
        <x:f>IFERROR(Z73*M73,0)</x:f>
        <x:v>0</x:v>
      </x:c>
      <x:c r="AF73" s="26" t="n">
        <x:v>163.3</x:v>
      </x:c>
      <x:c r="AG73" s="24" t="n">
        <x:v>56</x:v>
      </x:c>
      <x:c r="AH73" s="26" t="n">
        <x:v>-3.3</x:v>
      </x:c>
      <x:c r="AI73" s="22" t="n">
        <x:v>49</x:v>
      </x:c>
      <x:c r="AJ73" s="22" t="n">
        <x:v>27</x:v>
      </x:c>
      <x:c r="AK73" s="22" t="n">
        <x:v>15</x:v>
      </x:c>
      <x:c r="AL73" s="22" t="n">
        <x:v>14</x:v>
      </x:c>
      <x:c r="AM73" s="22" t="n">
        <x:v>12</x:v>
      </x:c>
      <x:c r="AN73" s="24" t="n">
        <x:f>IFERROR(AI73/X73*100,0)</x:f>
        <x:v>4.184457728437233</x:v>
      </x:c>
      <x:c r="AO73" s="24" t="n">
        <x:f>IFERROR(AJ73/X73*100,0)</x:f>
        <x:v>2.305721605465414</x:v>
      </x:c>
      <x:c r="AP73" s="24" t="n">
        <x:f>IFERROR(AK73/X73*100,0)</x:f>
        <x:v>1.2809564474807857</x:v>
      </x:c>
      <x:c r="AQ73" s="24" t="n">
        <x:f>IFERROR(AL73/X73*100,0)</x:f>
        <x:v>1.1955593509820666</x:v>
      </x:c>
      <x:c r="AR73" s="24" t="n">
        <x:f>IFERROR(AM73/X73*100,0)</x:f>
        <x:v>1.0247651579846286</x:v>
      </x:c>
      <x:c r="AS73" s="24" t="n">
        <x:f>IFERROR(Z73/X73*100,0)</x:f>
        <x:v>0</x:v>
      </x:c>
      <x:c r="AT73" s="26" t="n">
        <x:v>-5</x:v>
      </x:c>
      <x:c r="AU73" s="26" t="n">
        <x:v>24.3</x:v>
      </x:c>
      <x:c r="AV73" s="26" t="n">
        <x:v>32.4</x:v>
      </x:c>
      <x:c r="AW73" s="26" t="n">
        <x:v>-61.7</x:v>
      </x:c>
      <x:c r="AX73" s="26" t="n">
        <x:v>-4.7</x:v>
      </x:c>
      <x:c r="AY73" s="26" t="n">
        <x:v>17.6</x:v>
      </x:c>
      <x:c r="AZ73" s="26" t="n">
        <x:v>-25</x:v>
      </x:c>
      <x:c r="BA73" s="26" t="n">
        <x:v>166</x:v>
      </x:c>
      <x:c r="BB73" s="22" t="n">
        <x:f>IFERROR(AE73/Z73,0)</x:f>
        <x:v>0</x:v>
      </x:c>
      <x:c r="BC73" s="17" t="n">
        <x:f>IF(OR(V73="out_of_stock",V73="critical_low_stock"),MAX(0,(14-U73)*T73),0)</x:f>
        <x:v>19.2</x:v>
      </x:c>
      <x:c r="BD73" s="22" t="n">
        <x:f>IFERROR(BC73*M73,0)</x:f>
        <x:v>1151193.5999999999</x:v>
      </x:c>
      <x:c r="BE73" s="17" t="str">
        <x:v>stock_sales_behavior</x:v>
      </x:c>
      <x:c r="BF73" s="17" t="str">
        <x:v>copied_from_uploaded_product2 + synthetic_stock</x:v>
      </x:c>
    </x:row>
    <x:row r="74">
      <x:c r="A74" s="17" t="n">
        <x:v>73</x:v>
      </x:c>
      <x:c r="B74" s="17" t="str">
        <x:v>PRODUCT_STOCK_BEHAVIOR</x:v>
      </x:c>
      <x:c r="C74" s="20" t="n">
        <x:v>46146</x:v>
      </x:c>
      <x:c r="D74" s="17" t="str">
        <x:v>Web</x:v>
      </x:c>
      <x:c r="E74" s="17" t="str">
        <x:v>Mobile</x:v>
      </x:c>
      <x:c r="F74" s="17" t="str">
        <x:v>Social Paid</x:v>
      </x:c>
      <x:c r="G74" s="17" t="n">
        <x:v>34</x:v>
      </x:c>
      <x:c r="H74" s="17" t="str">
        <x:v>ROBOROCK</x:v>
      </x:c>
      <x:c r="I74" s="17" t="str">
        <x:v>Ev Aletleri &amp; Yaşam</x:v>
      </x:c>
      <x:c r="J74" s="17" t="str">
        <x:v>Süpürgeler</x:v>
      </x:c>
      <x:c r="K74" s="17" t="str">
        <x:v>ROBOROCK S8 Pro Robot Süpürge Beyaz</x:v>
      </x:c>
      <x:c r="L74" s="17" t="str">
        <x:v>1246707</x:v>
      </x:c>
      <x:c r="M74" s="22" t="n">
        <x:v>39565</x:v>
      </x:c>
      <x:c r="N74" s="26" t="n">
        <x:v>19.8</x:v>
      </x:c>
      <x:c r="O74" s="22" t="n">
        <x:v>46</x:v>
      </x:c>
      <x:c r="P74" s="22" t="n">
        <x:v>44</x:v>
      </x:c>
      <x:c r="Q74" s="22" t="n">
        <x:v>122</x:v>
      </x:c>
      <x:c r="R74" s="17" t="n">
        <x:v>10</x:v>
      </x:c>
      <x:c r="S74" s="22" t="n">
        <x:v>49</x:v>
      </x:c>
      <x:c r="T74" s="24" t="n">
        <x:v>3.7</x:v>
      </x:c>
      <x:c r="U74" s="24" t="n">
        <x:f>IFERROR(O74/T74,0)</x:f>
        <x:v>12.432432432432432</x:v>
      </x:c>
      <x:c r="V74" s="17" t="str">
        <x:f>IF(O74&lt;=0,"out_of_stock",IF(U74&lt;7,"critical_low_stock",IF(U74&gt;60,"overstock","in_stock")))</x:f>
        <x:v>in_stock</x:v>
      </x:c>
      <x:c r="W74" s="17" t="str">
        <x:f>IF(O74&lt;=0,"OOS",IF(AND(U74&lt;7,AC74&gt;=0.5),"High Risk",IF(U74&lt;14,"Medium Risk",IF(U74&gt;60,"Overstock","Healthy"))))</x:f>
        <x:v>Medium Risk</x:v>
      </x:c>
      <x:c r="X74" s="22" t="n">
        <x:v>1157</x:v>
      </x:c>
      <x:c r="Y74" s="22" t="n">
        <x:v>77</x:v>
      </x:c>
      <x:c r="Z74" s="22" t="n">
        <x:v>10</x:v>
      </x:c>
      <x:c r="AA74" s="24" t="n">
        <x:f>IFERROR(Y74/X74*100,0)</x:f>
        <x:v>6.65514261019879</x:v>
      </x:c>
      <x:c r="AB74" s="26" t="n">
        <x:v>9.4</x:v>
      </x:c>
      <x:c r="AC74" s="24" t="n">
        <x:f>IFERROR(Z74/X74*100,0)</x:f>
        <x:v>0.864304235090752</x:v>
      </x:c>
      <x:c r="AD74" s="26" t="n">
        <x:v>52.1</x:v>
      </x:c>
      <x:c r="AE74" s="22" t="n">
        <x:f>IFERROR(Z74*M74,0)</x:f>
        <x:v>395650</x:v>
      </x:c>
      <x:c r="AF74" s="26" t="n">
        <x:v>88.5</x:v>
      </x:c>
      <x:c r="AG74" s="24" t="n">
        <x:v>67</x:v>
      </x:c>
      <x:c r="AH74" s="26" t="n">
        <x:v>1.9</x:v>
      </x:c>
      <x:c r="AI74" s="22" t="n">
        <x:v>54</x:v>
      </x:c>
      <x:c r="AJ74" s="22" t="n">
        <x:v>17</x:v>
      </x:c>
      <x:c r="AK74" s="22" t="n">
        <x:v>16</x:v>
      </x:c>
      <x:c r="AL74" s="22" t="n">
        <x:v>15</x:v>
      </x:c>
      <x:c r="AM74" s="22" t="n">
        <x:v>11</x:v>
      </x:c>
      <x:c r="AN74" s="24" t="n">
        <x:f>IFERROR(AI74/X74*100,0)</x:f>
        <x:v>4.66724286949006</x:v>
      </x:c>
      <x:c r="AO74" s="24" t="n">
        <x:f>IFERROR(AJ74/X74*100,0)</x:f>
        <x:v>1.4693171996542784</x:v>
      </x:c>
      <x:c r="AP74" s="24" t="n">
        <x:f>IFERROR(AK74/X74*100,0)</x:f>
        <x:v>1.382886776145203</x:v>
      </x:c>
      <x:c r="AQ74" s="24" t="n">
        <x:f>IFERROR(AL74/X74*100,0)</x:f>
        <x:v>1.296456352636128</x:v>
      </x:c>
      <x:c r="AR74" s="24" t="n">
        <x:f>IFERROR(AM74/X74*100,0)</x:f>
        <x:v>0.9507346585998271</x:v>
      </x:c>
      <x:c r="AS74" s="24" t="n">
        <x:f>IFERROR(Z74/X74*100,0)</x:f>
        <x:v>0.864304235090752</x:v>
      </x:c>
      <x:c r="AT74" s="26" t="n">
        <x:v>2.9</x:v>
      </x:c>
      <x:c r="AU74" s="26" t="n">
        <x:v>14.8</x:v>
      </x:c>
      <x:c r="AV74" s="26" t="n">
        <x:v>23.1</x:v>
      </x:c>
      <x:c r="AW74" s="26" t="n">
        <x:v>-32.5</x:v>
      </x:c>
      <x:c r="AX74" s="26" t="n">
        <x:v>9.1</x:v>
      </x:c>
      <x:c r="AY74" s="26" t="n">
        <x:v>9.1</x:v>
      </x:c>
      <x:c r="AZ74" s="26" t="n">
        <x:v>-13.9</x:v>
      </x:c>
      <x:c r="BA74" s="26" t="n">
        <x:v>60</x:v>
      </x:c>
      <x:c r="BB74" s="22" t="n">
        <x:f>IFERROR(AE74/Z74,0)</x:f>
        <x:v>39565</x:v>
      </x:c>
      <x:c r="BC74" s="17" t="n">
        <x:f>IF(OR(V74="out_of_stock",V74="critical_low_stock"),MAX(0,(14-U74)*T74),0)</x:f>
        <x:v>0</x:v>
      </x:c>
      <x:c r="BD74" s="22" t="n">
        <x:f>IFERROR(BC74*M74,0)</x:f>
        <x:v>0</x:v>
      </x:c>
      <x:c r="BE74" s="17" t="str">
        <x:v>stock_sales_behavior</x:v>
      </x:c>
      <x:c r="BF74" s="17" t="str">
        <x:v>copied_from_uploaded_product2 + synthetic_stock</x:v>
      </x:c>
    </x:row>
    <x:row r="75">
      <x:c r="A75" s="17" t="n">
        <x:v>74</x:v>
      </x:c>
      <x:c r="B75" s="17" t="str">
        <x:v>PRODUCT_STOCK_BEHAVIOR</x:v>
      </x:c>
      <x:c r="C75" s="20" t="n">
        <x:v>46147</x:v>
      </x:c>
      <x:c r="D75" s="17" t="str">
        <x:v>Web</x:v>
      </x:c>
      <x:c r="E75" s="17" t="str">
        <x:v>Desktop</x:v>
      </x:c>
      <x:c r="F75" s="17" t="str">
        <x:v>CRM</x:v>
      </x:c>
      <x:c r="G75" s="17" t="n">
        <x:v>99</x:v>
      </x:c>
      <x:c r="H75" s="17" t="str">
        <x:v>ONVO</x:v>
      </x:c>
      <x:c r="I75" s="17" t="str">
        <x:v>Other</x:v>
      </x:c>
      <x:c r="J75" s="17" t="str">
        <x:v>Other</x:v>
      </x:c>
      <x:c r="K75" s="17" t="str">
        <x:v>ONVO MX-03 2400 W Elektrikli Scooter</x:v>
      </x:c>
      <x:c r="L75" s="17" t="str">
        <x:v>1252673</x:v>
      </x:c>
      <x:c r="M75" s="22" t="n">
        <x:v>22163</x:v>
      </x:c>
      <x:c r="N75" s="26" t="n">
        <x:v>-19.8</x:v>
      </x:c>
      <x:c r="O75" s="22" t="n">
        <x:v>37</x:v>
      </x:c>
      <x:c r="P75" s="22" t="n">
        <x:v>16</x:v>
      </x:c>
      <x:c r="Q75" s="22" t="n">
        <x:v>0</x:v>
      </x:c>
      <x:c r="R75" s="17" t="n">
        <x:v>7</x:v>
      </x:c>
      <x:c r="S75" s="22" t="n">
        <x:v>19</x:v>
      </x:c>
      <x:c r="T75" s="24" t="n">
        <x:v>1.9</x:v>
      </x:c>
      <x:c r="U75" s="24" t="n">
        <x:f>IFERROR(O75/T75,0)</x:f>
        <x:v>19.473684210526315</x:v>
      </x:c>
      <x:c r="V75" s="17" t="str">
        <x:f>IF(O75&lt;=0,"out_of_stock",IF(U75&lt;7,"critical_low_stock",IF(U75&gt;60,"overstock","in_stock")))</x:f>
        <x:v>in_stock</x:v>
      </x:c>
      <x:c r="W75" s="17" t="str">
        <x:f>IF(O75&lt;=0,"OOS",IF(AND(U75&lt;7,AC75&gt;=0.5),"High Risk",IF(U75&lt;14,"Medium Risk",IF(U75&gt;60,"Overstock","Healthy"))))</x:f>
        <x:v>Healthy</x:v>
      </x:c>
      <x:c r="X75" s="22" t="n">
        <x:v>1147</x:v>
      </x:c>
      <x:c r="Y75" s="22" t="n">
        <x:v>67</x:v>
      </x:c>
      <x:c r="Z75" s="22" t="n">
        <x:v>11</x:v>
      </x:c>
      <x:c r="AA75" s="24" t="n">
        <x:f>IFERROR(Y75/X75*100,0)</x:f>
        <x:v>5.841325196163906</x:v>
      </x:c>
      <x:c r="AB75" s="26" t="n">
        <x:v>-27.9</x:v>
      </x:c>
      <x:c r="AC75" s="24" t="n">
        <x:f>IFERROR(Z75/X75*100,0)</x:f>
        <x:v>0.959023539668701</x:v>
      </x:c>
      <x:c r="AD75" s="26" t="n">
        <x:v>44.8</x:v>
      </x:c>
      <x:c r="AE75" s="22" t="n">
        <x:f>IFERROR(Z75*M75,0)</x:f>
        <x:v>243793</x:v>
      </x:c>
      <x:c r="AF75" s="26" t="n">
        <x:v>28.9</x:v>
      </x:c>
      <x:c r="AG75" s="24" t="n">
        <x:v>66</x:v>
      </x:c>
      <x:c r="AH75" s="26" t="n">
        <x:v>7.1</x:v>
      </x:c>
      <x:c r="AI75" s="22" t="n">
        <x:v>62</x:v>
      </x:c>
      <x:c r="AJ75" s="22" t="n">
        <x:v>36</x:v>
      </x:c>
      <x:c r="AK75" s="22" t="n">
        <x:v>25</x:v>
      </x:c>
      <x:c r="AL75" s="22" t="n">
        <x:v>23</x:v>
      </x:c>
      <x:c r="AM75" s="22" t="n">
        <x:v>12</x:v>
      </x:c>
      <x:c r="AN75" s="24" t="n">
        <x:f>IFERROR(AI75/X75*100,0)</x:f>
        <x:v>5.405405405405405</x:v>
      </x:c>
      <x:c r="AO75" s="24" t="n">
        <x:f>IFERROR(AJ75/X75*100,0)</x:f>
        <x:v>3.1386224934612033</x:v>
      </x:c>
      <x:c r="AP75" s="24" t="n">
        <x:f>IFERROR(AK75/X75*100,0)</x:f>
        <x:v>2.1795989537925022</x:v>
      </x:c>
      <x:c r="AQ75" s="24" t="n">
        <x:f>IFERROR(AL75/X75*100,0)</x:f>
        <x:v>2.0052310374891023</x:v>
      </x:c>
      <x:c r="AR75" s="24" t="n">
        <x:f>IFERROR(AM75/X75*100,0)</x:f>
        <x:v>1.046207497820401</x:v>
      </x:c>
      <x:c r="AS75" s="24" t="n">
        <x:f>IFERROR(Z75/X75*100,0)</x:f>
        <x:v>0.959023539668701</x:v>
      </x:c>
      <x:c r="AT75" s="26" t="n">
        <x:v>10.1</x:v>
      </x:c>
      <x:c r="AU75" s="26" t="n">
        <x:v>-22.1</x:v>
      </x:c>
      <x:c r="AV75" s="26" t="n">
        <x:v>-30.8</x:v>
      </x:c>
      <x:c r="AW75" s="26" t="n">
        <x:v>0.3</x:v>
      </x:c>
      <x:c r="AX75" s="26" t="n">
        <x:v>-2.5</x:v>
      </x:c>
      <x:c r="AY75" s="26" t="n">
        <x:v>-0.9</x:v>
      </x:c>
      <x:c r="AZ75" s="26" t="n">
        <x:v>-6.6</x:v>
      </x:c>
      <x:c r="BA75" s="26" t="n">
        <x:v>60</x:v>
      </x:c>
      <x:c r="BB75" s="22" t="n">
        <x:f>IFERROR(AE75/Z75,0)</x:f>
        <x:v>22163</x:v>
      </x:c>
      <x:c r="BC75" s="17" t="n">
        <x:f>IF(OR(V75="out_of_stock",V75="critical_low_stock"),MAX(0,(14-U75)*T75),0)</x:f>
        <x:v>0</x:v>
      </x:c>
      <x:c r="BD75" s="22" t="n">
        <x:f>IFERROR(BC75*M75,0)</x:f>
        <x:v>0</x:v>
      </x:c>
      <x:c r="BE75" s="17" t="str">
        <x:v>stock_sales_behavior</x:v>
      </x:c>
      <x:c r="BF75" s="17" t="str">
        <x:v>copied_from_uploaded_product2 + synthetic_stock</x:v>
      </x:c>
    </x:row>
    <x:row r="76">
      <x:c r="A76" s="17" t="n">
        <x:v>75</x:v>
      </x:c>
      <x:c r="B76" s="17" t="str">
        <x:v>PRODUCT_STOCK_BEHAVIOR</x:v>
      </x:c>
      <x:c r="C76" s="20" t="n">
        <x:v>46148</x:v>
      </x:c>
      <x:c r="D76" s="17" t="str">
        <x:v>App</x:v>
      </x:c>
      <x:c r="E76" s="17" t="str">
        <x:v>Mobile</x:v>
      </x:c>
      <x:c r="F76" s="17" t="str">
        <x:v>Price Comparison</x:v>
      </x:c>
      <x:c r="G76" s="17" t="n">
        <x:v>7</x:v>
      </x:c>
      <x:c r="H76" s="17" t="str">
        <x:v>JBL</x:v>
      </x:c>
      <x:c r="I76" s="17" t="str">
        <x:v>Telefon</x:v>
      </x:c>
      <x:c r="J76" s="17" t="str">
        <x:v>Kulaklıklar</x:v>
      </x:c>
      <x:c r="K76" s="17" t="str">
        <x:v>JBL Tune 520BT Kablosuz Kulak Üstü Kulaklık Siyah</x:v>
      </x:c>
      <x:c r="L76" s="17" t="str">
        <x:v>1229420</x:v>
      </x:c>
      <x:c r="M76" s="22" t="n">
        <x:v>3181</x:v>
      </x:c>
      <x:c r="N76" s="26" t="n">
        <x:v>12.3</x:v>
      </x:c>
      <x:c r="O76" s="22" t="n">
        <x:v>16</x:v>
      </x:c>
      <x:c r="P76" s="22" t="n">
        <x:v>9</x:v>
      </x:c>
      <x:c r="Q76" s="22" t="n">
        <x:v>39</x:v>
      </x:c>
      <x:c r="R76" s="17" t="n">
        <x:v>3</x:v>
      </x:c>
      <x:c r="S76" s="22" t="n">
        <x:v>20</x:v>
      </x:c>
      <x:c r="T76" s="24" t="n">
        <x:v>3.3</x:v>
      </x:c>
      <x:c r="U76" s="24" t="n">
        <x:f>IFERROR(O76/T76,0)</x:f>
        <x:v>4.848484848484849</x:v>
      </x:c>
      <x:c r="V76" s="17" t="str">
        <x:f>IF(O76&lt;=0,"out_of_stock",IF(U76&lt;7,"critical_low_stock",IF(U76&gt;60,"overstock","in_stock")))</x:f>
        <x:v>critical_low_stock</x:v>
      </x:c>
      <x:c r="W76" s="17" t="str">
        <x:f>IF(O76&lt;=0,"OOS",IF(AND(U76&lt;7,AC76&gt;=0.5),"High Risk",IF(U76&lt;14,"Medium Risk",IF(U76&gt;60,"Overstock","Healthy"))))</x:f>
        <x:v>High Risk</x:v>
      </x:c>
      <x:c r="X76" s="22" t="n">
        <x:v>1138</x:v>
      </x:c>
      <x:c r="Y76" s="22" t="n">
        <x:v>117</x:v>
      </x:c>
      <x:c r="Z76" s="22" t="n">
        <x:v>18</x:v>
      </x:c>
      <x:c r="AA76" s="24" t="n">
        <x:f>IFERROR(Y76/X76*100,0)</x:f>
        <x:v>10.281195079086116</x:v>
      </x:c>
      <x:c r="AB76" s="26" t="n">
        <x:v>15.9</x:v>
      </x:c>
      <x:c r="AC76" s="24" t="n">
        <x:f>IFERROR(Z76/X76*100,0)</x:f>
        <x:v>1.5817223198594026</x:v>
      </x:c>
      <x:c r="AD76" s="26" t="n">
        <x:v>78.1</x:v>
      </x:c>
      <x:c r="AE76" s="22" t="n">
        <x:f>IFERROR(Z76*M76,0)</x:f>
        <x:v>57258</x:v>
      </x:c>
      <x:c r="AF76" s="26" t="n">
        <x:v>98.3</x:v>
      </x:c>
      <x:c r="AG76" s="24" t="n">
        <x:v>57</x:v>
      </x:c>
      <x:c r="AH76" s="26" t="n">
        <x:v>0.8</x:v>
      </x:c>
      <x:c r="AI76" s="22" t="n">
        <x:v>68</x:v>
      </x:c>
      <x:c r="AJ76" s="22" t="n">
        <x:v>50</x:v>
      </x:c>
      <x:c r="AK76" s="22" t="n">
        <x:v>27</x:v>
      </x:c>
      <x:c r="AL76" s="22" t="n">
        <x:v>23</x:v>
      </x:c>
      <x:c r="AM76" s="22" t="n">
        <x:v>18</x:v>
      </x:c>
      <x:c r="AN76" s="24" t="n">
        <x:f>IFERROR(AI76/X76*100,0)</x:f>
        <x:v>5.975395430579964</x:v>
      </x:c>
      <x:c r="AO76" s="24" t="n">
        <x:f>IFERROR(AJ76/X76*100,0)</x:f>
        <x:v>4.393673110720562</x:v>
      </x:c>
      <x:c r="AP76" s="24" t="n">
        <x:f>IFERROR(AK76/X76*100,0)</x:f>
        <x:v>2.3725834797891037</x:v>
      </x:c>
      <x:c r="AQ76" s="24" t="n">
        <x:f>IFERROR(AL76/X76*100,0)</x:f>
        <x:v>2.0210896309314585</x:v>
      </x:c>
      <x:c r="AR76" s="24" t="n">
        <x:f>IFERROR(AM76/X76*100,0)</x:f>
        <x:v>1.5817223198594026</x:v>
      </x:c>
      <x:c r="AS76" s="24" t="n">
        <x:f>IFERROR(Z76/X76*100,0)</x:f>
        <x:v>1.5817223198594026</x:v>
      </x:c>
      <x:c r="AT76" s="26" t="n">
        <x:v>-4.3</x:v>
      </x:c>
      <x:c r="AU76" s="26" t="n">
        <x:v>13</x:v>
      </x:c>
      <x:c r="AV76" s="26" t="n">
        <x:v>20.5</x:v>
      </x:c>
      <x:c r="AW76" s="26" t="n">
        <x:v>-71.1</x:v>
      </x:c>
      <x:c r="AX76" s="26" t="n">
        <x:v>-6.5</x:v>
      </x:c>
      <x:c r="AY76" s="26" t="n">
        <x:v>-8.2</x:v>
      </x:c>
      <x:c r="AZ76" s="26" t="n">
        <x:v>-1.4</x:v>
      </x:c>
      <x:c r="BA76" s="26" t="n">
        <x:v>71.4</x:v>
      </x:c>
      <x:c r="BB76" s="22" t="n">
        <x:f>IFERROR(AE76/Z76,0)</x:f>
        <x:v>3181</x:v>
      </x:c>
      <x:c r="BC76" s="17" t="n">
        <x:f>IF(OR(V76="out_of_stock",V76="critical_low_stock"),MAX(0,(14-U76)*T76),0)</x:f>
        <x:v>30.2</x:v>
      </x:c>
      <x:c r="BD76" s="22" t="n">
        <x:f>IFERROR(BC76*M76,0)</x:f>
        <x:v>96066.2</x:v>
      </x:c>
      <x:c r="BE76" s="17" t="str">
        <x:v>stock_sales_behavior</x:v>
      </x:c>
      <x:c r="BF76" s="17" t="str">
        <x:v>copied_from_uploaded_product2 + synthetic_stock</x:v>
      </x:c>
    </x:row>
    <x:row r="77">
      <x:c r="A77" s="17" t="n">
        <x:v>76</x:v>
      </x:c>
      <x:c r="B77" s="17" t="str">
        <x:v>PRODUCT_STOCK_BEHAVIOR</x:v>
      </x:c>
      <x:c r="C77" s="20" t="n">
        <x:v>46149</x:v>
      </x:c>
      <x:c r="D77" s="17" t="str">
        <x:v>App</x:v>
      </x:c>
      <x:c r="E77" s="17" t="str">
        <x:v>Desktop</x:v>
      </x:c>
      <x:c r="F77" s="17" t="str">
        <x:v>CRM</x:v>
      </x:c>
      <x:c r="G77" s="17" t="n">
        <x:v>99</x:v>
      </x:c>
      <x:c r="H77" s="17" t="str">
        <x:v>PHILIPS</x:v>
      </x:c>
      <x:c r="I77" s="17" t="str">
        <x:v>Other</x:v>
      </x:c>
      <x:c r="J77" s="17" t="str">
        <x:v>Other</x:v>
      </x:c>
      <x:c r="K77" s="17" t="str">
        <x:v>PHILIPS Lumea 9900 Serisi BRI950/02 IPL Tüy Alma, SkinAI Uygulama, Vücut ve Yüz için 2 Başlık, Çanta</x:v>
      </x:c>
      <x:c r="L77" s="17" t="str">
        <x:v>1248715</x:v>
      </x:c>
      <x:c r="M77" s="22" t="n">
        <x:v>13701</x:v>
      </x:c>
      <x:c r="N77" s="26" t="n">
        <x:v>15.5</x:v>
      </x:c>
      <x:c r="O77" s="22" t="n">
        <x:v>142</x:v>
      </x:c>
      <x:c r="P77" s="22" t="n">
        <x:v>50</x:v>
      </x:c>
      <x:c r="Q77" s="22" t="n">
        <x:v>0</x:v>
      </x:c>
      <x:c r="R77" s="17" t="n">
        <x:v>21</x:v>
      </x:c>
      <x:c r="S77" s="22" t="n">
        <x:v>87</x:v>
      </x:c>
      <x:c r="T77" s="24" t="n">
        <x:v>3.6</x:v>
      </x:c>
      <x:c r="U77" s="24" t="n">
        <x:f>IFERROR(O77/T77,0)</x:f>
        <x:v>39.44444444444444</x:v>
      </x:c>
      <x:c r="V77" s="17" t="str">
        <x:f>IF(O77&lt;=0,"out_of_stock",IF(U77&lt;7,"critical_low_stock",IF(U77&gt;60,"overstock","in_stock")))</x:f>
        <x:v>in_stock</x:v>
      </x:c>
      <x:c r="W77" s="17" t="str">
        <x:f>IF(O77&lt;=0,"OOS",IF(AND(U77&lt;7,AC77&gt;=0.5),"High Risk",IF(U77&lt;14,"Medium Risk",IF(U77&gt;60,"Overstock","Healthy"))))</x:f>
        <x:v>Healthy</x:v>
      </x:c>
      <x:c r="X77" s="22" t="n">
        <x:v>1126</x:v>
      </x:c>
      <x:c r="Y77" s="22" t="n">
        <x:v>109</x:v>
      </x:c>
      <x:c r="Z77" s="22" t="n">
        <x:v>19</x:v>
      </x:c>
      <x:c r="AA77" s="24" t="n">
        <x:f>IFERROR(Y77/X77*100,0)</x:f>
        <x:v>9.680284191829484</x:v>
      </x:c>
      <x:c r="AB77" s="26" t="n">
        <x:v>69.3</x:v>
      </x:c>
      <x:c r="AC77" s="24" t="n">
        <x:f>IFERROR(Z77/X77*100,0)</x:f>
        <x:v>1.6873889875666075</x:v>
      </x:c>
      <x:c r="AD77" s="26" t="n">
        <x:v>239.7</x:v>
      </x:c>
      <x:c r="AE77" s="22" t="n">
        <x:f>IFERROR(Z77*M77,0)</x:f>
        <x:v>260319</x:v>
      </x:c>
      <x:c r="AF77" s="26" t="n">
        <x:v>269.8</x:v>
      </x:c>
      <x:c r="AG77" s="24" t="n">
        <x:v>72</x:v>
      </x:c>
      <x:c r="AH77" s="26" t="n">
        <x:v>-7.8</x:v>
      </x:c>
      <x:c r="AI77" s="22" t="n">
        <x:v>85</x:v>
      </x:c>
      <x:c r="AJ77" s="22" t="n">
        <x:v>54</x:v>
      </x:c>
      <x:c r="AK77" s="22" t="n">
        <x:v>30</x:v>
      </x:c>
      <x:c r="AL77" s="22" t="n">
        <x:v>23</x:v>
      </x:c>
      <x:c r="AM77" s="22" t="n">
        <x:v>19</x:v>
      </x:c>
      <x:c r="AN77" s="24" t="n">
        <x:f>IFERROR(AI77/X77*100,0)</x:f>
        <x:v>7.548845470692718</x:v>
      </x:c>
      <x:c r="AO77" s="24" t="n">
        <x:f>IFERROR(AJ77/X77*100,0)</x:f>
        <x:v>4.7957371225577266</x:v>
      </x:c>
      <x:c r="AP77" s="24" t="n">
        <x:f>IFERROR(AK77/X77*100,0)</x:f>
        <x:v>2.664298401420959</x:v>
      </x:c>
      <x:c r="AQ77" s="24" t="n">
        <x:f>IFERROR(AL77/X77*100,0)</x:f>
        <x:v>2.0426287744227354</x:v>
      </x:c>
      <x:c r="AR77" s="24" t="n">
        <x:f>IFERROR(AM77/X77*100,0)</x:f>
        <x:v>1.6873889875666075</x:v>
      </x:c>
      <x:c r="AS77" s="24" t="n">
        <x:f>IFERROR(Z77/X77*100,0)</x:f>
        <x:v>1.6873889875666075</x:v>
      </x:c>
      <x:c r="AT77" s="26" t="n">
        <x:v>13.2</x:v>
      </x:c>
      <x:c r="AU77" s="26" t="n">
        <x:v>80</x:v>
      </x:c>
      <x:c r="AV77" s="26" t="n">
        <x:v>82.6</x:v>
      </x:c>
      <x:c r="AW77" s="26" t="n">
        <x:v>-2</x:v>
      </x:c>
      <x:c r="AX77" s="26" t="n">
        <x:v>-17.8</x:v>
      </x:c>
      <x:c r="AY77" s="26" t="n">
        <x:v>9.9</x:v>
      </x:c>
      <x:c r="AZ77" s="26" t="n">
        <x:v>-14.4</x:v>
      </x:c>
      <x:c r="BA77" s="26" t="n">
        <x:v>250</x:v>
      </x:c>
      <x:c r="BB77" s="22" t="n">
        <x:f>IFERROR(AE77/Z77,0)</x:f>
        <x:v>13701</x:v>
      </x:c>
      <x:c r="BC77" s="17" t="n">
        <x:f>IF(OR(V77="out_of_stock",V77="critical_low_stock"),MAX(0,(14-U77)*T77),0)</x:f>
        <x:v>0</x:v>
      </x:c>
      <x:c r="BD77" s="22" t="n">
        <x:f>IFERROR(BC77*M77,0)</x:f>
        <x:v>0</x:v>
      </x:c>
      <x:c r="BE77" s="17" t="str">
        <x:v>stock_sales_behavior</x:v>
      </x:c>
      <x:c r="BF77" s="17" t="str">
        <x:v>copied_from_uploaded_product2 + synthetic_stock</x:v>
      </x:c>
    </x:row>
    <x:row r="78">
      <x:c r="A78" s="17" t="n">
        <x:v>77</x:v>
      </x:c>
      <x:c r="B78" s="17" t="str">
        <x:v>PRODUCT_STOCK_BEHAVIOR</x:v>
      </x:c>
      <x:c r="C78" s="20" t="n">
        <x:v>46150</x:v>
      </x:c>
      <x:c r="D78" s="17" t="str">
        <x:v>Web</x:v>
      </x:c>
      <x:c r="E78" s="17" t="str">
        <x:v>App</x:v>
      </x:c>
      <x:c r="F78" s="17" t="str">
        <x:v>Direct</x:v>
      </x:c>
      <x:c r="G78" s="17" t="n">
        <x:v>28</x:v>
      </x:c>
      <x:c r="H78" s="17" t="str">
        <x:v>SAMSUNG</x:v>
      </x:c>
      <x:c r="I78" s="17" t="str">
        <x:v>Telefon</x:v>
      </x:c>
      <x:c r="J78" s="17" t="str">
        <x:v>Cep Telefonları</x:v>
      </x:c>
      <x:c r="K78" s="17" t="str">
        <x:v>SAMSUNG Galaxy A17 5G 8/256GB Akıllı Telefon Mavi</x:v>
      </x:c>
      <x:c r="L78" s="17" t="str">
        <x:v>1248871</x:v>
      </x:c>
      <x:c r="M78" s="22" t="n">
        <x:v>46231</x:v>
      </x:c>
      <x:c r="N78" s="26" t="n">
        <x:v>-10.9</x:v>
      </x:c>
      <x:c r="O78" s="22" t="n">
        <x:v>334</x:v>
      </x:c>
      <x:c r="P78" s="22" t="n">
        <x:v>222</x:v>
      </x:c>
      <x:c r="Q78" s="22" t="n">
        <x:v>0</x:v>
      </x:c>
      <x:c r="R78" s="17" t="n">
        <x:v>3</x:v>
      </x:c>
      <x:c r="S78" s="22" t="n">
        <x:v>83</x:v>
      </x:c>
      <x:c r="T78" s="24" t="n">
        <x:v>13.8</x:v>
      </x:c>
      <x:c r="U78" s="24" t="n">
        <x:f>IFERROR(O78/T78,0)</x:f>
        <x:v>24.202898550724637</x:v>
      </x:c>
      <x:c r="V78" s="17" t="str">
        <x:f>IF(O78&lt;=0,"out_of_stock",IF(U78&lt;7,"critical_low_stock",IF(U78&gt;60,"overstock","in_stock")))</x:f>
        <x:v>in_stock</x:v>
      </x:c>
      <x:c r="W78" s="17" t="str">
        <x:f>IF(O78&lt;=0,"OOS",IF(AND(U78&lt;7,AC78&gt;=0.5),"High Risk",IF(U78&lt;14,"Medium Risk",IF(U78&gt;60,"Overstock","Healthy"))))</x:f>
        <x:v>Healthy</x:v>
      </x:c>
      <x:c r="X78" s="22" t="n">
        <x:v>1109</x:v>
      </x:c>
      <x:c r="Y78" s="22" t="n">
        <x:v>223</x:v>
      </x:c>
      <x:c r="Z78" s="22" t="n">
        <x:v>83</x:v>
      </x:c>
      <x:c r="AA78" s="24" t="n">
        <x:f>IFERROR(Y78/X78*100,0)</x:f>
        <x:v>20.108205590622184</x:v>
      </x:c>
      <x:c r="AB78" s="26" t="n">
        <x:v>27.1</x:v>
      </x:c>
      <x:c r="AC78" s="24" t="n">
        <x:f>IFERROR(Z78/X78*100,0)</x:f>
        <x:v>7.484220018034265</x:v>
      </x:c>
      <x:c r="AD78" s="26" t="n">
        <x:v>16.7</x:v>
      </x:c>
      <x:c r="AE78" s="22" t="n">
        <x:f>IFERROR(Z78*M78,0)</x:f>
        <x:v>3837173</x:v>
      </x:c>
      <x:c r="AF78" s="26" t="n">
        <x:v>25.9</x:v>
      </x:c>
      <x:c r="AG78" s="24" t="n">
        <x:v>48</x:v>
      </x:c>
      <x:c r="AH78" s="26" t="n">
        <x:v>6</x:v>
      </x:c>
      <x:c r="AI78" s="22" t="n">
        <x:v>158</x:v>
      </x:c>
      <x:c r="AJ78" s="22" t="n">
        <x:v>105</x:v>
      </x:c>
      <x:c r="AK78" s="22" t="n">
        <x:v>75</x:v>
      </x:c>
      <x:c r="AL78" s="22" t="n">
        <x:v>50</x:v>
      </x:c>
      <x:c r="AM78" s="22" t="n">
        <x:v>83</x:v>
      </x:c>
      <x:c r="AN78" s="24" t="n">
        <x:f>IFERROR(AI78/X78*100,0)</x:f>
        <x:v>14.24706943192065</x:v>
      </x:c>
      <x:c r="AO78" s="24" t="n">
        <x:f>IFERROR(AJ78/X78*100,0)</x:f>
        <x:v>9.467989179440938</x:v>
      </x:c>
      <x:c r="AP78" s="24" t="n">
        <x:f>IFERROR(AK78/X78*100,0)</x:f>
        <x:v>6.762849413886383</x:v>
      </x:c>
      <x:c r="AQ78" s="24" t="n">
        <x:f>IFERROR(AL78/X78*100,0)</x:f>
        <x:v>4.508566275924256</x:v>
      </x:c>
      <x:c r="AR78" s="24" t="n">
        <x:f>IFERROR(AM78/X78*100,0)</x:f>
        <x:v>7.484220018034265</x:v>
      </x:c>
      <x:c r="AS78" s="24" t="n">
        <x:f>IFERROR(Z78/X78*100,0)</x:f>
        <x:v>7.484220018034265</x:v>
      </x:c>
      <x:c r="AT78" s="26" t="n">
        <x:v>17.5</x:v>
      </x:c>
      <x:c r="AU78" s="26" t="n">
        <x:v>59.3</x:v>
      </x:c>
      <x:c r="AV78" s="26" t="n">
        <x:v>54.8</x:v>
      </x:c>
      <x:c r="AW78" s="26" t="n">
        <x:v>-3.1</x:v>
      </x:c>
      <x:c r="AX78" s="26" t="n">
        <x:v>-4.7</x:v>
      </x:c>
      <x:c r="AY78" s="26" t="n">
        <x:v>-7</x:v>
      </x:c>
      <x:c r="AZ78" s="26" t="n">
        <x:v>-15.2</x:v>
      </x:c>
      <x:c r="BA78" s="26" t="n">
        <x:v>43.2</x:v>
      </x:c>
      <x:c r="BB78" s="22" t="n">
        <x:f>IFERROR(AE78/Z78,0)</x:f>
        <x:v>46231</x:v>
      </x:c>
      <x:c r="BC78" s="17" t="n">
        <x:f>IF(OR(V78="out_of_stock",V78="critical_low_stock"),MAX(0,(14-U78)*T78),0)</x:f>
        <x:v>0</x:v>
      </x:c>
      <x:c r="BD78" s="22" t="n">
        <x:f>IFERROR(BC78*M78,0)</x:f>
        <x:v>0</x:v>
      </x:c>
      <x:c r="BE78" s="17" t="str">
        <x:v>stock_sales_behavior</x:v>
      </x:c>
      <x:c r="BF78" s="17" t="str">
        <x:v>copied_from_uploaded_product2 + synthetic_stock</x:v>
      </x:c>
    </x:row>
    <x:row r="79">
      <x:c r="A79" s="17" t="n">
        <x:v>78</x:v>
      </x:c>
      <x:c r="B79" s="17" t="str">
        <x:v>PRODUCT_STOCK_BEHAVIOR</x:v>
      </x:c>
      <x:c r="C79" s="20" t="n">
        <x:v>46151</x:v>
      </x:c>
      <x:c r="D79" s="17" t="str">
        <x:v>App</x:v>
      </x:c>
      <x:c r="E79" s="17" t="str">
        <x:v>Desktop</x:v>
      </x:c>
      <x:c r="F79" s="17" t="str">
        <x:v>Direct</x:v>
      </x:c>
      <x:c r="G79" s="17" t="n">
        <x:v>99</x:v>
      </x:c>
      <x:c r="H79" s="17" t="str">
        <x:v>PHILIPS</x:v>
      </x:c>
      <x:c r="I79" s="17" t="str">
        <x:v>Other</x:v>
      </x:c>
      <x:c r="J79" s="17" t="str">
        <x:v>Other</x:v>
      </x:c>
      <x:c r="K79" s="17" t="str">
        <x:v>PHILIPS QP2824/10 Oneblade Yüz ve Vücut Şekillendirici Lime Yeşili / Siyah</x:v>
      </x:c>
      <x:c r="L79" s="17" t="str">
        <x:v>1228614</x:v>
      </x:c>
      <x:c r="M79" s="22" t="n">
        <x:v>14669</x:v>
      </x:c>
      <x:c r="N79" s="26" t="n">
        <x:v>-4.7</x:v>
      </x:c>
      <x:c r="O79" s="22" t="n">
        <x:v>49</x:v>
      </x:c>
      <x:c r="P79" s="22" t="n">
        <x:v>78</x:v>
      </x:c>
      <x:c r="Q79" s="22" t="n">
        <x:v>0</x:v>
      </x:c>
      <x:c r="R79" s="17" t="n">
        <x:v>21</x:v>
      </x:c>
      <x:c r="S79" s="22" t="n">
        <x:v>36</x:v>
      </x:c>
      <x:c r="T79" s="24" t="n">
        <x:v>1.5</x:v>
      </x:c>
      <x:c r="U79" s="24" t="n">
        <x:f>IFERROR(O79/T79,0)</x:f>
        <x:v>32.666666666666664</x:v>
      </x:c>
      <x:c r="V79" s="17" t="str">
        <x:f>IF(O79&lt;=0,"out_of_stock",IF(U79&lt;7,"critical_low_stock",IF(U79&gt;60,"overstock","in_stock")))</x:f>
        <x:v>in_stock</x:v>
      </x:c>
      <x:c r="W79" s="17" t="str">
        <x:f>IF(O79&lt;=0,"OOS",IF(AND(U79&lt;7,AC79&gt;=0.5),"High Risk",IF(U79&lt;14,"Medium Risk",IF(U79&gt;60,"Overstock","Healthy"))))</x:f>
        <x:v>Healthy</x:v>
      </x:c>
      <x:c r="X79" s="22" t="n">
        <x:v>1082</x:v>
      </x:c>
      <x:c r="Y79" s="22" t="n">
        <x:v>52</x:v>
      </x:c>
      <x:c r="Z79" s="22" t="n">
        <x:v>7</x:v>
      </x:c>
      <x:c r="AA79" s="24" t="n">
        <x:f>IFERROR(Y79/X79*100,0)</x:f>
        <x:v>4.805914972273567</x:v>
      </x:c>
      <x:c r="AB79" s="26" t="n">
        <x:v>20.4</x:v>
      </x:c>
      <x:c r="AC79" s="24" t="n">
        <x:f>IFERROR(Z79/X79*100,0)</x:f>
        <x:v>0.6469500924214419</x:v>
      </x:c>
      <x:c r="AD79" s="26" t="n">
        <x:v>-14</x:v>
      </x:c>
      <x:c r="AE79" s="22" t="n">
        <x:f>IFERROR(Z79*M79,0)</x:f>
        <x:v>102683</x:v>
      </x:c>
      <x:c r="AF79" s="26" t="n">
        <x:v>25</x:v>
      </x:c>
      <x:c r="AG79" s="24" t="n">
        <x:v>66</x:v>
      </x:c>
      <x:c r="AH79" s="26" t="n">
        <x:v>-9.3</x:v>
      </x:c>
      <x:c r="AI79" s="22" t="n">
        <x:v>39</x:v>
      </x:c>
      <x:c r="AJ79" s="22" t="n">
        <x:v>26</x:v>
      </x:c>
      <x:c r="AK79" s="22" t="n">
        <x:v>22</x:v>
      </x:c>
      <x:c r="AL79" s="22" t="n">
        <x:v>15</x:v>
      </x:c>
      <x:c r="AM79" s="22" t="n">
        <x:v>11</x:v>
      </x:c>
      <x:c r="AN79" s="24" t="n">
        <x:f>IFERROR(AI79/X79*100,0)</x:f>
        <x:v>3.6044362292051755</x:v>
      </x:c>
      <x:c r="AO79" s="24" t="n">
        <x:f>IFERROR(AJ79/X79*100,0)</x:f>
        <x:v>2.4029574861367835</x:v>
      </x:c>
      <x:c r="AP79" s="24" t="n">
        <x:f>IFERROR(AK79/X79*100,0)</x:f>
        <x:v>2.033271719038817</x:v>
      </x:c>
      <x:c r="AQ79" s="24" t="n">
        <x:f>IFERROR(AL79/X79*100,0)</x:f>
        <x:v>1.3863216266173752</x:v>
      </x:c>
      <x:c r="AR79" s="24" t="n">
        <x:f>IFERROR(AM79/X79*100,0)</x:f>
        <x:v>1.0166358595194085</x:v>
      </x:c>
      <x:c r="AS79" s="24" t="n">
        <x:f>IFERROR(Z79/X79*100,0)</x:f>
        <x:v>0.6469500924214419</x:v>
      </x:c>
      <x:c r="AT79" s="26" t="n">
        <x:v>41.3</x:v>
      </x:c>
      <x:c r="AU79" s="26" t="n">
        <x:v>60.7</x:v>
      </x:c>
      <x:c r="AV79" s="26" t="n">
        <x:v>52.8</x:v>
      </x:c>
      <x:c r="AW79" s="26" t="n">
        <x:v>-45.5</x:v>
      </x:c>
      <x:c r="AX79" s="26" t="n">
        <x:v>-9.7</x:v>
      </x:c>
      <x:c r="AY79" s="26" t="n">
        <x:v>-4.9</x:v>
      </x:c>
      <x:c r="AZ79" s="26" t="n">
        <x:v>-2.7</x:v>
      </x:c>
      <x:c r="BA79" s="26" t="n">
        <x:v>20</x:v>
      </x:c>
      <x:c r="BB79" s="22" t="n">
        <x:f>IFERROR(AE79/Z79,0)</x:f>
        <x:v>14669</x:v>
      </x:c>
      <x:c r="BC79" s="17" t="n">
        <x:f>IF(OR(V79="out_of_stock",V79="critical_low_stock"),MAX(0,(14-U79)*T79),0)</x:f>
        <x:v>0</x:v>
      </x:c>
      <x:c r="BD79" s="22" t="n">
        <x:f>IFERROR(BC79*M79,0)</x:f>
        <x:v>0</x:v>
      </x:c>
      <x:c r="BE79" s="17" t="str">
        <x:v>stock_sales_behavior</x:v>
      </x:c>
      <x:c r="BF79" s="17" t="str">
        <x:v>copied_from_uploaded_product2 + synthetic_stock</x:v>
      </x:c>
    </x:row>
    <x:row r="80">
      <x:c r="A80" s="17" t="n">
        <x:v>79</x:v>
      </x:c>
      <x:c r="B80" s="17" t="str">
        <x:v>PRODUCT_STOCK_BEHAVIOR</x:v>
      </x:c>
      <x:c r="C80" s="20" t="n">
        <x:v>46152</x:v>
      </x:c>
      <x:c r="D80" s="17" t="str">
        <x:v>Mobile Web</x:v>
      </x:c>
      <x:c r="E80" s="17" t="str">
        <x:v>Desktop</x:v>
      </x:c>
      <x:c r="F80" s="17" t="str">
        <x:v>Affiliate</x:v>
      </x:c>
      <x:c r="G80" s="17" t="n">
        <x:v>99</x:v>
      </x:c>
      <x:c r="H80" s="17" t="str">
        <x:v>PHILIPS</x:v>
      </x:c>
      <x:c r="I80" s="17" t="str">
        <x:v>Other</x:v>
      </x:c>
      <x:c r="J80" s="17" t="str">
        <x:v>Other</x:v>
      </x:c>
      <x:c r="K80" s="17" t="str">
        <x:v>PHILIPS XV5113/01 OneUp 5000 Serisi Elektrikli Mop</x:v>
      </x:c>
      <x:c r="L80" s="17" t="str">
        <x:v>1251309</x:v>
      </x:c>
      <x:c r="M80" s="22" t="n">
        <x:v>7460</x:v>
      </x:c>
      <x:c r="N80" s="26" t="n">
        <x:v>11</x:v>
      </x:c>
      <x:c r="O80" s="22" t="n">
        <x:v>77</x:v>
      </x:c>
      <x:c r="P80" s="22" t="n">
        <x:v>121</x:v>
      </x:c>
      <x:c r="Q80" s="22" t="n">
        <x:v>0</x:v>
      </x:c>
      <x:c r="R80" s="17" t="n">
        <x:v>3</x:v>
      </x:c>
      <x:c r="S80" s="22" t="n">
        <x:v>11</x:v>
      </x:c>
      <x:c r="T80" s="24" t="n">
        <x:v>1.8</x:v>
      </x:c>
      <x:c r="U80" s="24" t="n">
        <x:f>IFERROR(O80/T80,0)</x:f>
        <x:v>42.77777777777778</x:v>
      </x:c>
      <x:c r="V80" s="17" t="str">
        <x:f>IF(O80&lt;=0,"out_of_stock",IF(U80&lt;7,"critical_low_stock",IF(U80&gt;60,"overstock","in_stock")))</x:f>
        <x:v>in_stock</x:v>
      </x:c>
      <x:c r="W80" s="17" t="str">
        <x:f>IF(O80&lt;=0,"OOS",IF(AND(U80&lt;7,AC80&gt;=0.5),"High Risk",IF(U80&lt;14,"Medium Risk",IF(U80&gt;60,"Overstock","Healthy"))))</x:f>
        <x:v>Healthy</x:v>
      </x:c>
      <x:c r="X80" s="22" t="n">
        <x:v>1080</x:v>
      </x:c>
      <x:c r="Y80" s="22" t="n">
        <x:v>45</x:v>
      </x:c>
      <x:c r="Z80" s="22" t="n">
        <x:v>6</x:v>
      </x:c>
      <x:c r="AA80" s="24" t="n">
        <x:f>IFERROR(Y80/X80*100,0)</x:f>
        <x:v>4.166666666666666</x:v>
      </x:c>
      <x:c r="AB80" s="26" t="n">
        <x:v>26.3</x:v>
      </x:c>
      <x:c r="AC80" s="24" t="n">
        <x:f>IFERROR(Z80/X80*100,0)</x:f>
        <x:v>0.5555555555555556</x:v>
      </x:c>
      <x:c r="AD80" s="26" t="n">
        <x:v>12.2</x:v>
      </x:c>
      <x:c r="AE80" s="22" t="n">
        <x:f>IFERROR(Z80*M80,0)</x:f>
        <x:v>44760</x:v>
      </x:c>
      <x:c r="AF80" s="26" t="n">
        <x:v>41.1</x:v>
      </x:c>
      <x:c r="AG80" s="24" t="n">
        <x:v>80</x:v>
      </x:c>
      <x:c r="AH80" s="26" t="n">
        <x:v>5.5</x:v>
      </x:c>
      <x:c r="AI80" s="22" t="n">
        <x:v>36</x:v>
      </x:c>
      <x:c r="AJ80" s="22" t="n">
        <x:v>18</x:v>
      </x:c>
      <x:c r="AK80" s="22" t="n">
        <x:v>14</x:v>
      </x:c>
      <x:c r="AL80" s="22" t="n">
        <x:v>13</x:v>
      </x:c>
      <x:c r="AM80" s="22" t="n">
        <x:v>6</x:v>
      </x:c>
      <x:c r="AN80" s="24" t="n">
        <x:f>IFERROR(AI80/X80*100,0)</x:f>
        <x:v>3.3333333333333335</x:v>
      </x:c>
      <x:c r="AO80" s="24" t="n">
        <x:f>IFERROR(AJ80/X80*100,0)</x:f>
        <x:v>1.6666666666666667</x:v>
      </x:c>
      <x:c r="AP80" s="24" t="n">
        <x:f>IFERROR(AK80/X80*100,0)</x:f>
        <x:v>1.2962962962962963</x:v>
      </x:c>
      <x:c r="AQ80" s="24" t="n">
        <x:f>IFERROR(AL80/X80*100,0)</x:f>
        <x:v>1.2037037037037037</x:v>
      </x:c>
      <x:c r="AR80" s="24" t="n">
        <x:f>IFERROR(AM80/X80*100,0)</x:f>
        <x:v>0.5555555555555556</x:v>
      </x:c>
      <x:c r="AS80" s="24" t="n">
        <x:f>IFERROR(Z80/X80*100,0)</x:f>
        <x:v>0.5555555555555556</x:v>
      </x:c>
      <x:c r="AT80" s="26" t="n">
        <x:v>11.1</x:v>
      </x:c>
      <x:c r="AU80" s="26" t="n">
        <x:v>24.2</x:v>
      </x:c>
      <x:c r="AV80" s="26" t="n">
        <x:v>30.2</x:v>
      </x:c>
      <x:c r="AW80" s="26" t="n">
        <x:v>-13.9</x:v>
      </x:c>
      <x:c r="AX80" s="26" t="n">
        <x:v>13.3</x:v>
      </x:c>
      <x:c r="AY80" s="26" t="n">
        <x:v>-18.6</x:v>
      </x:c>
      <x:c r="AZ80" s="26" t="n">
        <x:v>-7.7</x:v>
      </x:c>
      <x:c r="BA80" s="26" t="n">
        <x:v>25</x:v>
      </x:c>
      <x:c r="BB80" s="22" t="n">
        <x:f>IFERROR(AE80/Z80,0)</x:f>
        <x:v>7460</x:v>
      </x:c>
      <x:c r="BC80" s="17" t="n">
        <x:f>IF(OR(V80="out_of_stock",V80="critical_low_stock"),MAX(0,(14-U80)*T80),0)</x:f>
        <x:v>0</x:v>
      </x:c>
      <x:c r="BD80" s="22" t="n">
        <x:f>IFERROR(BC80*M80,0)</x:f>
        <x:v>0</x:v>
      </x:c>
      <x:c r="BE80" s="17" t="str">
        <x:v>stock_sales_behavior</x:v>
      </x:c>
      <x:c r="BF80" s="17" t="str">
        <x:v>copied_from_uploaded_product2 + synthetic_stock</x:v>
      </x:c>
    </x:row>
    <x:row r="81">
      <x:c r="A81" s="17" t="n">
        <x:v>80</x:v>
      </x:c>
      <x:c r="B81" s="17" t="str">
        <x:v>PRODUCT_STOCK_BEHAVIOR</x:v>
      </x:c>
      <x:c r="C81" s="20" t="n">
        <x:v>46153</x:v>
      </x:c>
      <x:c r="D81" s="17" t="str">
        <x:v>App</x:v>
      </x:c>
      <x:c r="E81" s="17" t="str">
        <x:v>Mobile</x:v>
      </x:c>
      <x:c r="F81" s="17" t="str">
        <x:v>Affiliate</x:v>
      </x:c>
      <x:c r="G81" s="17" t="n">
        <x:v>99</x:v>
      </x:c>
      <x:c r="H81" s="17" t="str">
        <x:v>ONVO</x:v>
      </x:c>
      <x:c r="I81" s="17" t="str">
        <x:v>Other</x:v>
      </x:c>
      <x:c r="J81" s="17" t="str">
        <x:v>Other</x:v>
      </x:c>
      <x:c r="K81" s="17" t="str">
        <x:v>ONVO RX-09 3000 W Elektrikli Scooter</x:v>
      </x:c>
      <x:c r="L81" s="17" t="str">
        <x:v>1252672</x:v>
      </x:c>
      <x:c r="M81" s="22" t="n">
        <x:v>27602</x:v>
      </x:c>
      <x:c r="N81" s="26" t="n">
        <x:v>-0.3</x:v>
      </x:c>
      <x:c r="O81" s="22" t="n">
        <x:v>0</x:v>
      </x:c>
      <x:c r="P81" s="22" t="n">
        <x:v>0</x:v>
      </x:c>
      <x:c r="Q81" s="22" t="n">
        <x:v>10</x:v>
      </x:c>
      <x:c r="R81" s="17" t="n">
        <x:v>5</x:v>
      </x:c>
      <x:c r="S81" s="22" t="n">
        <x:v>7</x:v>
      </x:c>
      <x:c r="T81" s="24" t="n">
        <x:v>0.8</x:v>
      </x:c>
      <x:c r="U81" s="24" t="n">
        <x:f>IFERROR(O81/T81,0)</x:f>
        <x:v>0</x:v>
      </x:c>
      <x:c r="V81" s="17" t="str">
        <x:f>IF(O81&lt;=0,"out_of_stock",IF(U81&lt;7,"critical_low_stock",IF(U81&gt;60,"overstock","in_stock")))</x:f>
        <x:v>out_of_stock</x:v>
      </x:c>
      <x:c r="W81" s="17" t="str">
        <x:f>IF(O81&lt;=0,"OOS",IF(AND(U81&lt;7,AC81&gt;=0.5),"High Risk",IF(U81&lt;14,"Medium Risk",IF(U81&gt;60,"Overstock","Healthy"))))</x:f>
        <x:v>OOS</x:v>
      </x:c>
      <x:c r="X81" s="22" t="n">
        <x:v>1064</x:v>
      </x:c>
      <x:c r="Y81" s="22" t="n">
        <x:v>50</x:v>
      </x:c>
      <x:c r="Z81" s="22" t="n">
        <x:v>3</x:v>
      </x:c>
      <x:c r="AA81" s="24" t="n">
        <x:f>IFERROR(Y81/X81*100,0)</x:f>
        <x:v>4.6992481203007515</x:v>
      </x:c>
      <x:c r="AB81" s="26" t="n">
        <x:v>3.4</x:v>
      </x:c>
      <x:c r="AC81" s="24" t="n">
        <x:f>IFERROR(Z81/X81*100,0)</x:f>
        <x:v>0.28195488721804507</x:v>
      </x:c>
      <x:c r="AD81" s="26" t="n">
        <x:v>96.1</x:v>
      </x:c>
      <x:c r="AE81" s="22" t="n">
        <x:f>IFERROR(Z81*M81,0)</x:f>
        <x:v>82806</x:v>
      </x:c>
      <x:c r="AF81" s="26" t="n">
        <x:v>107.6</x:v>
      </x:c>
      <x:c r="AG81" s="24" t="n">
        <x:v>61</x:v>
      </x:c>
      <x:c r="AH81" s="26" t="n">
        <x:v>-4.3</x:v>
      </x:c>
      <x:c r="AI81" s="22" t="n">
        <x:v>39</x:v>
      </x:c>
      <x:c r="AJ81" s="22" t="n">
        <x:v>22</x:v>
      </x:c>
      <x:c r="AK81" s="22" t="n">
        <x:v>18</x:v>
      </x:c>
      <x:c r="AL81" s="22" t="n">
        <x:v>18</x:v>
      </x:c>
      <x:c r="AM81" s="22" t="n">
        <x:v>11</x:v>
      </x:c>
      <x:c r="AN81" s="24" t="n">
        <x:f>IFERROR(AI81/X81*100,0)</x:f>
        <x:v>3.6654135338345863</x:v>
      </x:c>
      <x:c r="AO81" s="24" t="n">
        <x:f>IFERROR(AJ81/X81*100,0)</x:f>
        <x:v>2.0676691729323307</x:v>
      </x:c>
      <x:c r="AP81" s="24" t="n">
        <x:f>IFERROR(AK81/X81*100,0)</x:f>
        <x:v>1.6917293233082706</x:v>
      </x:c>
      <x:c r="AQ81" s="24" t="n">
        <x:f>IFERROR(AL81/X81*100,0)</x:f>
        <x:v>1.6917293233082706</x:v>
      </x:c>
      <x:c r="AR81" s="24" t="n">
        <x:f>IFERROR(AM81/X81*100,0)</x:f>
        <x:v>1.0338345864661653</x:v>
      </x:c>
      <x:c r="AS81" s="24" t="n">
        <x:f>IFERROR(Z81/X81*100,0)</x:f>
        <x:v>0.28195488721804507</x:v>
      </x:c>
      <x:c r="AT81" s="26" t="n">
        <x:v>6.5</x:v>
      </x:c>
      <x:c r="AU81" s="26" t="n">
        <x:v>-4.5</x:v>
      </x:c>
      <x:c r="AV81" s="26" t="n">
        <x:v>-7.2</x:v>
      </x:c>
      <x:c r="AW81" s="26" t="n">
        <x:v>-46.7</x:v>
      </x:c>
      <x:c r="AX81" s="26" t="n">
        <x:v>-10.2</x:v>
      </x:c>
      <x:c r="AY81" s="26" t="n">
        <x:v>18.2</x:v>
      </x:c>
      <x:c r="AZ81" s="26" t="n">
        <x:v>-33.8</x:v>
      </x:c>
      <x:c r="BA81" s="26" t="n">
        <x:v>100</x:v>
      </x:c>
      <x:c r="BB81" s="22" t="n">
        <x:f>IFERROR(AE81/Z81,0)</x:f>
        <x:v>27602</x:v>
      </x:c>
      <x:c r="BC81" s="17" t="n">
        <x:f>IF(OR(V81="out_of_stock",V81="critical_low_stock"),MAX(0,(14-U81)*T81),0)</x:f>
        <x:v>11.200000000000001</x:v>
      </x:c>
      <x:c r="BD81" s="22" t="n">
        <x:f>IFERROR(BC81*M81,0)</x:f>
        <x:v>309142.4</x:v>
      </x:c>
      <x:c r="BE81" s="17" t="str">
        <x:v>stock_sales_behavior</x:v>
      </x:c>
      <x:c r="BF81" s="17" t="str">
        <x:v>copied_from_uploaded_product2 + synthetic_stock</x:v>
      </x:c>
    </x:row>
    <x:row r="82">
      <x:c r="A82" s="17" t="n">
        <x:v>81</x:v>
      </x:c>
      <x:c r="B82" s="17" t="str">
        <x:v>PRODUCT_STOCK_BEHAVIOR</x:v>
      </x:c>
      <x:c r="C82" s="20" t="n">
        <x:v>46154</x:v>
      </x:c>
      <x:c r="D82" s="17" t="str">
        <x:v>Web</x:v>
      </x:c>
      <x:c r="E82" s="17" t="str">
        <x:v>Desktop</x:v>
      </x:c>
      <x:c r="F82" s="17" t="str">
        <x:v>Search Organic Brand</x:v>
      </x:c>
      <x:c r="G82" s="17" t="n">
        <x:v>99</x:v>
      </x:c>
      <x:c r="H82" s="17" t="str">
        <x:v>XIAOMI</x:v>
      </x:c>
      <x:c r="I82" s="17" t="str">
        <x:v>Other</x:v>
      </x:c>
      <x:c r="J82" s="17" t="str">
        <x:v>Other</x:v>
      </x:c>
      <x:c r="K82" s="17" t="str">
        <x:v>XIAOMI Smart Air Purifier 4 Compact Akıllı Hava Temizleyici Beyaz</x:v>
      </x:c>
      <x:c r="L82" s="17" t="str">
        <x:v>1225157</x:v>
      </x:c>
      <x:c r="M82" s="22" t="n">
        <x:v>8096</x:v>
      </x:c>
      <x:c r="N82" s="26" t="n">
        <x:v>2.5</x:v>
      </x:c>
      <x:c r="O82" s="22" t="n">
        <x:v>12</x:v>
      </x:c>
      <x:c r="P82" s="22" t="n">
        <x:v>16</x:v>
      </x:c>
      <x:c r="Q82" s="22" t="n">
        <x:v>0</x:v>
      </x:c>
      <x:c r="R82" s="17" t="n">
        <x:v>14</x:v>
      </x:c>
      <x:c r="S82" s="22" t="n">
        <x:v>79</x:v>
      </x:c>
      <x:c r="T82" s="24" t="n">
        <x:v>4.6</x:v>
      </x:c>
      <x:c r="U82" s="24" t="n">
        <x:f>IFERROR(O82/T82,0)</x:f>
        <x:v>2.608695652173913</x:v>
      </x:c>
      <x:c r="V82" s="17" t="str">
        <x:f>IF(O82&lt;=0,"out_of_stock",IF(U82&lt;7,"critical_low_stock",IF(U82&gt;60,"overstock","in_stock")))</x:f>
        <x:v>critical_low_stock</x:v>
      </x:c>
      <x:c r="W82" s="17" t="str">
        <x:f>IF(O82&lt;=0,"OOS",IF(AND(U82&lt;7,AC82&gt;=0.5),"High Risk",IF(U82&lt;14,"Medium Risk",IF(U82&gt;60,"Overstock","Healthy"))))</x:f>
        <x:v>High Risk</x:v>
      </x:c>
      <x:c r="X82" s="22" t="n">
        <x:v>1062</x:v>
      </x:c>
      <x:c r="Y82" s="22" t="n">
        <x:v>132</x:v>
      </x:c>
      <x:c r="Z82" s="22" t="n">
        <x:v>25</x:v>
      </x:c>
      <x:c r="AA82" s="24" t="n">
        <x:f>IFERROR(Y82/X82*100,0)</x:f>
        <x:v>12.429378531073446</x:v>
      </x:c>
      <x:c r="AB82" s="26" t="n">
        <x:v>14.4</x:v>
      </x:c>
      <x:c r="AC82" s="24" t="n">
        <x:f>IFERROR(Z82/X82*100,0)</x:f>
        <x:v>2.354048964218456</x:v>
      </x:c>
      <x:c r="AD82" s="26" t="n">
        <x:v>18</x:v>
      </x:c>
      <x:c r="AE82" s="22" t="n">
        <x:f>IFERROR(Z82*M82,0)</x:f>
        <x:v>202400</x:v>
      </x:c>
      <x:c r="AF82" s="26" t="n">
        <x:v>27.3</x:v>
      </x:c>
      <x:c r="AG82" s="24" t="n">
        <x:v>71</x:v>
      </x:c>
      <x:c r="AH82" s="26" t="n">
        <x:v>-5.8</x:v>
      </x:c>
      <x:c r="AI82" s="22" t="n">
        <x:v>84</x:v>
      </x:c>
      <x:c r="AJ82" s="22" t="n">
        <x:v>48</x:v>
      </x:c>
      <x:c r="AK82" s="22" t="n">
        <x:v>39</x:v>
      </x:c>
      <x:c r="AL82" s="22" t="n">
        <x:v>39</x:v>
      </x:c>
      <x:c r="AM82" s="22" t="n">
        <x:v>25</x:v>
      </x:c>
      <x:c r="AN82" s="24" t="n">
        <x:f>IFERROR(AI82/X82*100,0)</x:f>
        <x:v>7.909604519774012</x:v>
      </x:c>
      <x:c r="AO82" s="24" t="n">
        <x:f>IFERROR(AJ82/X82*100,0)</x:f>
        <x:v>4.519774011299435</x:v>
      </x:c>
      <x:c r="AP82" s="24" t="n">
        <x:f>IFERROR(AK82/X82*100,0)</x:f>
        <x:v>3.672316384180791</x:v>
      </x:c>
      <x:c r="AQ82" s="24" t="n">
        <x:f>IFERROR(AL82/X82*100,0)</x:f>
        <x:v>3.672316384180791</x:v>
      </x:c>
      <x:c r="AR82" s="24" t="n">
        <x:f>IFERROR(AM82/X82*100,0)</x:f>
        <x:v>2.354048964218456</x:v>
      </x:c>
      <x:c r="AS82" s="24" t="n">
        <x:f>IFERROR(Z82/X82*100,0)</x:f>
        <x:v>2.354048964218456</x:v>
      </x:c>
      <x:c r="AT82" s="26" t="n">
        <x:v>15.8</x:v>
      </x:c>
      <x:c r="AU82" s="26" t="n">
        <x:v>25</x:v>
      </x:c>
      <x:c r="AV82" s="26" t="n">
        <x:v>33</x:v>
      </x:c>
      <x:c r="AW82" s="26" t="n">
        <x:v>-34.9</x:v>
      </x:c>
      <x:c r="AX82" s="26" t="n">
        <x:v>-16.9</x:v>
      </x:c>
      <x:c r="AY82" s="26" t="n">
        <x:v>5.7</x:v>
      </x:c>
      <x:c r="AZ82" s="26" t="n">
        <x:v>3</x:v>
      </x:c>
      <x:c r="BA82" s="26" t="n">
        <x:v>35.7</x:v>
      </x:c>
      <x:c r="BB82" s="22" t="n">
        <x:f>IFERROR(AE82/Z82,0)</x:f>
        <x:v>8096</x:v>
      </x:c>
      <x:c r="BC82" s="17" t="n">
        <x:f>IF(OR(V82="out_of_stock",V82="critical_low_stock"),MAX(0,(14-U82)*T82),0)</x:f>
        <x:v>52.39999999999999</x:v>
      </x:c>
      <x:c r="BD82" s="22" t="n">
        <x:f>IFERROR(BC82*M82,0)</x:f>
        <x:v>424230.3999999999</x:v>
      </x:c>
      <x:c r="BE82" s="17" t="str">
        <x:v>stock_sales_behavior</x:v>
      </x:c>
      <x:c r="BF82" s="17" t="str">
        <x:v>copied_from_uploaded_product2 + synthetic_stock</x:v>
      </x:c>
    </x:row>
    <x:row r="83">
      <x:c r="A83" s="17" t="n">
        <x:v>82</x:v>
      </x:c>
      <x:c r="B83" s="17" t="str">
        <x:v>PRODUCT_STOCK_BEHAVIOR</x:v>
      </x:c>
      <x:c r="C83" s="20" t="n">
        <x:v>46155</x:v>
      </x:c>
      <x:c r="D83" s="17" t="str">
        <x:v>Web</x:v>
      </x:c>
      <x:c r="E83" s="17" t="str">
        <x:v>Mobile</x:v>
      </x:c>
      <x:c r="F83" s="17" t="str">
        <x:v>Search Organic Brand</x:v>
      </x:c>
      <x:c r="G83" s="17" t="n">
        <x:v>28</x:v>
      </x:c>
      <x:c r="H83" s="17" t="str">
        <x:v>SAMSUNG</x:v>
      </x:c>
      <x:c r="I83" s="17" t="str">
        <x:v>Telefon</x:v>
      </x:c>
      <x:c r="J83" s="17" t="str">
        <x:v>Cep Telefonları</x:v>
      </x:c>
      <x:c r="K83" s="17" t="str">
        <x:v>SAMSUNG Galaxy A36 5G 8/256GB Akıllı Telefon Siyah</x:v>
      </x:c>
      <x:c r="L83" s="17" t="str">
        <x:v>1245779</x:v>
      </x:c>
      <x:c r="M83" s="22" t="n">
        <x:v>47944</x:v>
      </x:c>
      <x:c r="N83" s="26" t="n">
        <x:v>10.1</x:v>
      </x:c>
      <x:c r="O83" s="22" t="n">
        <x:v>76</x:v>
      </x:c>
      <x:c r="P83" s="22" t="n">
        <x:v>117</x:v>
      </x:c>
      <x:c r="Q83" s="22" t="n">
        <x:v>0</x:v>
      </x:c>
      <x:c r="R83" s="17" t="n">
        <x:v>14</x:v>
      </x:c>
      <x:c r="S83" s="22" t="n">
        <x:v>38</x:v>
      </x:c>
      <x:c r="T83" s="24" t="n">
        <x:v>2.2</x:v>
      </x:c>
      <x:c r="U83" s="24" t="n">
        <x:f>IFERROR(O83/T83,0)</x:f>
        <x:v>34.54545454545454</x:v>
      </x:c>
      <x:c r="V83" s="17" t="str">
        <x:f>IF(O83&lt;=0,"out_of_stock",IF(U83&lt;7,"critical_low_stock",IF(U83&gt;60,"overstock","in_stock")))</x:f>
        <x:v>in_stock</x:v>
      </x:c>
      <x:c r="W83" s="17" t="str">
        <x:f>IF(O83&lt;=0,"OOS",IF(AND(U83&lt;7,AC83&gt;=0.5),"High Risk",IF(U83&lt;14,"Medium Risk",IF(U83&gt;60,"Overstock","Healthy"))))</x:f>
        <x:v>Healthy</x:v>
      </x:c>
      <x:c r="X83" s="22" t="n">
        <x:v>1053</x:v>
      </x:c>
      <x:c r="Y83" s="22" t="n">
        <x:v>78</x:v>
      </x:c>
      <x:c r="Z83" s="22" t="n">
        <x:v>3</x:v>
      </x:c>
      <x:c r="AA83" s="24" t="n">
        <x:f>IFERROR(Y83/X83*100,0)</x:f>
        <x:v>7.4074074074074066</x:v>
      </x:c>
      <x:c r="AB83" s="26" t="n">
        <x:v>-15.1</x:v>
      </x:c>
      <x:c r="AC83" s="24" t="n">
        <x:f>IFERROR(Z83/X83*100,0)</x:f>
        <x:v>0.2849002849002849</x:v>
      </x:c>
      <x:c r="AD83" s="26" t="n">
        <x:v>101.5</x:v>
      </x:c>
      <x:c r="AE83" s="22" t="n">
        <x:f>IFERROR(Z83*M83,0)</x:f>
        <x:v>143832</x:v>
      </x:c>
      <x:c r="AF83" s="26" t="n">
        <x:v>110.4</x:v>
      </x:c>
      <x:c r="AG83" s="24" t="n">
        <x:v>55</x:v>
      </x:c>
      <x:c r="AH83" s="26" t="n">
        <x:v>-7.1</x:v>
      </x:c>
      <x:c r="AI83" s="22" t="n">
        <x:v>69</x:v>
      </x:c>
      <x:c r="AJ83" s="22" t="n">
        <x:v>43</x:v>
      </x:c>
      <x:c r="AK83" s="22" t="n">
        <x:v>39</x:v>
      </x:c>
      <x:c r="AL83" s="22" t="n">
        <x:v>34</x:v>
      </x:c>
      <x:c r="AM83" s="22" t="n">
        <x:v>27</x:v>
      </x:c>
      <x:c r="AN83" s="24" t="n">
        <x:f>IFERROR(AI83/X83*100,0)</x:f>
        <x:v>6.552706552706552</x:v>
      </x:c>
      <x:c r="AO83" s="24" t="n">
        <x:f>IFERROR(AJ83/X83*100,0)</x:f>
        <x:v>4.083570750237417</x:v>
      </x:c>
      <x:c r="AP83" s="24" t="n">
        <x:f>IFERROR(AK83/X83*100,0)</x:f>
        <x:v>3.7037037037037033</x:v>
      </x:c>
      <x:c r="AQ83" s="24" t="n">
        <x:f>IFERROR(AL83/X83*100,0)</x:f>
        <x:v>3.2288698955365627</x:v>
      </x:c>
      <x:c r="AR83" s="24" t="n">
        <x:f>IFERROR(AM83/X83*100,0)</x:f>
        <x:v>2.564102564102564</x:v>
      </x:c>
      <x:c r="AS83" s="24" t="n">
        <x:f>IFERROR(Z83/X83*100,0)</x:f>
        <x:v>0.2849002849002849</x:v>
      </x:c>
      <x:c r="AT83" s="26" t="n">
        <x:v>-2.4</x:v>
      </x:c>
      <x:c r="AU83" s="26" t="n">
        <x:v>-9.1</x:v>
      </x:c>
      <x:c r="AV83" s="26" t="n">
        <x:v>-14.4</x:v>
      </x:c>
      <x:c r="AW83" s="26" t="n">
        <x:v>-30.5</x:v>
      </x:c>
      <x:c r="AX83" s="26" t="n">
        <x:v>-7.4</x:v>
      </x:c>
      <x:c r="AY83" s="26" t="n">
        <x:v>0.8</x:v>
      </x:c>
      <x:c r="AZ83" s="26" t="n">
        <x:v>-14</x:v>
      </x:c>
      <x:c r="BA83" s="26" t="n">
        <x:v>100</x:v>
      </x:c>
      <x:c r="BB83" s="22" t="n">
        <x:f>IFERROR(AE83/Z83,0)</x:f>
        <x:v>47944</x:v>
      </x:c>
      <x:c r="BC83" s="17" t="n">
        <x:f>IF(OR(V83="out_of_stock",V83="critical_low_stock"),MAX(0,(14-U83)*T83),0)</x:f>
        <x:v>0</x:v>
      </x:c>
      <x:c r="BD83" s="22" t="n">
        <x:f>IFERROR(BC83*M83,0)</x:f>
        <x:v>0</x:v>
      </x:c>
      <x:c r="BE83" s="17" t="str">
        <x:v>stock_sales_behavior</x:v>
      </x:c>
      <x:c r="BF83" s="17" t="str">
        <x:v>copied_from_uploaded_product2 + synthetic_stock</x:v>
      </x:c>
    </x:row>
    <x:row r="84">
      <x:c r="A84" s="17" t="n">
        <x:v>83</x:v>
      </x:c>
      <x:c r="B84" s="17" t="str">
        <x:v>PRODUCT_STOCK_BEHAVIOR</x:v>
      </x:c>
      <x:c r="C84" s="20" t="n">
        <x:v>46156</x:v>
      </x:c>
      <x:c r="D84" s="17" t="str">
        <x:v>App</x:v>
      </x:c>
      <x:c r="E84" s="17" t="str">
        <x:v>Mobile</x:v>
      </x:c>
      <x:c r="F84" s="17" t="str">
        <x:v>CRM</x:v>
      </x:c>
      <x:c r="G84" s="17" t="n">
        <x:v>28</x:v>
      </x:c>
      <x:c r="H84" s="17" t="str">
        <x:v>SAMSUNG</x:v>
      </x:c>
      <x:c r="I84" s="17" t="str">
        <x:v>Telefon</x:v>
      </x:c>
      <x:c r="J84" s="17" t="str">
        <x:v>Cep Telefonları</x:v>
      </x:c>
      <x:c r="K84" s="17" t="str">
        <x:v>SAMSUNG Galaxy A56 5G 8/256GB Akıllı Telefon Antrasit</x:v>
      </x:c>
      <x:c r="L84" s="17" t="str">
        <x:v>1245807</x:v>
      </x:c>
      <x:c r="M84" s="22" t="n">
        <x:v>63152</x:v>
      </x:c>
      <x:c r="N84" s="26" t="n">
        <x:v>-14.2</x:v>
      </x:c>
      <x:c r="O84" s="22" t="n">
        <x:v>65</x:v>
      </x:c>
      <x:c r="P84" s="22" t="n">
        <x:v>110</x:v>
      </x:c>
      <x:c r="Q84" s="22" t="n">
        <x:v>0</x:v>
      </x:c>
      <x:c r="R84" s="17" t="n">
        <x:v>3</x:v>
      </x:c>
      <x:c r="S84" s="22" t="n">
        <x:v>17</x:v>
      </x:c>
      <x:c r="T84" s="24" t="n">
        <x:v>2.7</x:v>
      </x:c>
      <x:c r="U84" s="24" t="n">
        <x:f>IFERROR(O84/T84,0)</x:f>
        <x:v>24.074074074074073</x:v>
      </x:c>
      <x:c r="V84" s="17" t="str">
        <x:f>IF(O84&lt;=0,"out_of_stock",IF(U84&lt;7,"critical_low_stock",IF(U84&gt;60,"overstock","in_stock")))</x:f>
        <x:v>in_stock</x:v>
      </x:c>
      <x:c r="W84" s="17" t="str">
        <x:f>IF(O84&lt;=0,"OOS",IF(AND(U84&lt;7,AC84&gt;=0.5),"High Risk",IF(U84&lt;14,"Medium Risk",IF(U84&gt;60,"Overstock","Healthy"))))</x:f>
        <x:v>Healthy</x:v>
      </x:c>
      <x:c r="X84" s="22" t="n">
        <x:v>1037</x:v>
      </x:c>
      <x:c r="Y84" s="22" t="n">
        <x:v>88</x:v>
      </x:c>
      <x:c r="Z84" s="22" t="n">
        <x:v>4</x:v>
      </x:c>
      <x:c r="AA84" s="24" t="n">
        <x:f>IFERROR(Y84/X84*100,0)</x:f>
        <x:v>8.486017357762778</x:v>
      </x:c>
      <x:c r="AB84" s="26" t="n">
        <x:v>49.3</x:v>
      </x:c>
      <x:c r="AC84" s="24" t="n">
        <x:f>IFERROR(Z84/X84*100,0)</x:f>
        <x:v>0.3857280617164899</x:v>
      </x:c>
      <x:c r="AD84" s="26" t="n">
        <x:v>191.5</x:v>
      </x:c>
      <x:c r="AE84" s="22" t="n">
        <x:f>IFERROR(Z84*M84,0)</x:f>
        <x:v>252608</x:v>
      </x:c>
      <x:c r="AF84" s="26" t="n">
        <x:v>200</x:v>
      </x:c>
      <x:c r="AG84" s="24" t="n">
        <x:v>55</x:v>
      </x:c>
      <x:c r="AH84" s="26" t="n">
        <x:v>0.8</x:v>
      </x:c>
      <x:c r="AI84" s="22" t="n">
        <x:v>74</x:v>
      </x:c>
      <x:c r="AJ84" s="22" t="n">
        <x:v>40</x:v>
      </x:c>
      <x:c r="AK84" s="22" t="n">
        <x:v>34</x:v>
      </x:c>
      <x:c r="AL84" s="22" t="n">
        <x:v>32</x:v>
      </x:c>
      <x:c r="AM84" s="22" t="n">
        <x:v>14</x:v>
      </x:c>
      <x:c r="AN84" s="24" t="n">
        <x:f>IFERROR(AI84/X84*100,0)</x:f>
        <x:v>7.135969141755062</x:v>
      </x:c>
      <x:c r="AO84" s="24" t="n">
        <x:f>IFERROR(AJ84/X84*100,0)</x:f>
        <x:v>3.857280617164899</x:v>
      </x:c>
      <x:c r="AP84" s="24" t="n">
        <x:f>IFERROR(AK84/X84*100,0)</x:f>
        <x:v>3.278688524590164</x:v>
      </x:c>
      <x:c r="AQ84" s="24" t="n">
        <x:f>IFERROR(AL84/X84*100,0)</x:f>
        <x:v>3.085824493731919</x:v>
      </x:c>
      <x:c r="AR84" s="24" t="n">
        <x:f>IFERROR(AM84/X84*100,0)</x:f>
        <x:v>1.3500482160077145</x:v>
      </x:c>
      <x:c r="AS84" s="24" t="n">
        <x:f>IFERROR(Z84/X84*100,0)</x:f>
        <x:v>0.3857280617164899</x:v>
      </x:c>
      <x:c r="AT84" s="26" t="n">
        <x:v>5.5</x:v>
      </x:c>
      <x:c r="AU84" s="26" t="n">
        <x:v>91.3</x:v>
      </x:c>
      <x:c r="AV84" s="26" t="n">
        <x:v>90.6</x:v>
      </x:c>
      <x:c r="AW84" s="26" t="n">
        <x:v>-28.4</x:v>
      </x:c>
      <x:c r="AX84" s="26" t="n">
        <x:v>-15.5</x:v>
      </x:c>
      <x:c r="AY84" s="26" t="n">
        <x:v>12.3</x:v>
      </x:c>
      <x:c r="AZ84" s="26" t="n">
        <x:v>-10.2</x:v>
      </x:c>
      <x:c r="BA84" s="26" t="n">
        <x:v>200</x:v>
      </x:c>
      <x:c r="BB84" s="22" t="n">
        <x:f>IFERROR(AE84/Z84,0)</x:f>
        <x:v>63152</x:v>
      </x:c>
      <x:c r="BC84" s="17" t="n">
        <x:f>IF(OR(V84="out_of_stock",V84="critical_low_stock"),MAX(0,(14-U84)*T84),0)</x:f>
        <x:v>0</x:v>
      </x:c>
      <x:c r="BD84" s="22" t="n">
        <x:f>IFERROR(BC84*M84,0)</x:f>
        <x:v>0</x:v>
      </x:c>
      <x:c r="BE84" s="17" t="str">
        <x:v>stock_sales_behavior</x:v>
      </x:c>
      <x:c r="BF84" s="17" t="str">
        <x:v>copied_from_uploaded_product2 + synthetic_stock</x:v>
      </x:c>
    </x:row>
    <x:row r="85">
      <x:c r="A85" s="17" t="n">
        <x:v>84</x:v>
      </x:c>
      <x:c r="B85" s="17" t="str">
        <x:v>PRODUCT_STOCK_BEHAVIOR</x:v>
      </x:c>
      <x:c r="C85" s="20" t="n">
        <x:v>46143</x:v>
      </x:c>
      <x:c r="D85" s="17" t="str">
        <x:v>App</x:v>
      </x:c>
      <x:c r="E85" s="17" t="str">
        <x:v>Desktop</x:v>
      </x:c>
      <x:c r="F85" s="17" t="str">
        <x:v>Search Paid Generic</x:v>
      </x:c>
      <x:c r="G85" s="17" t="n">
        <x:v>99</x:v>
      </x:c>
      <x:c r="H85" s="17" t="str">
        <x:v>PHILIPS</x:v>
      </x:c>
      <x:c r="I85" s="17" t="str">
        <x:v>Other</x:v>
      </x:c>
      <x:c r="J85" s="17" t="str">
        <x:v>Other</x:v>
      </x:c>
      <x:c r="K85" s="17" t="str">
        <x:v>PHILIPS Lumea BRI924/00 Lazer IPL Cihazı</x:v>
      </x:c>
      <x:c r="L85" s="17" t="str">
        <x:v>1252963</x:v>
      </x:c>
      <x:c r="M85" s="22" t="n">
        <x:v>21260</x:v>
      </x:c>
      <x:c r="N85" s="26" t="n">
        <x:v>-11.8</x:v>
      </x:c>
      <x:c r="O85" s="22" t="n">
        <x:v>95</x:v>
      </x:c>
      <x:c r="P85" s="22" t="n">
        <x:v>143</x:v>
      </x:c>
      <x:c r="Q85" s="22" t="n">
        <x:v>0</x:v>
      </x:c>
      <x:c r="R85" s="17" t="n">
        <x:v>10</x:v>
      </x:c>
      <x:c r="S85" s="22" t="n">
        <x:v>38</x:v>
      </x:c>
      <x:c r="T85" s="24" t="n">
        <x:v>2.9</x:v>
      </x:c>
      <x:c r="U85" s="24" t="n">
        <x:f>IFERROR(O85/T85,0)</x:f>
        <x:v>32.758620689655174</x:v>
      </x:c>
      <x:c r="V85" s="17" t="str">
        <x:f>IF(O85&lt;=0,"out_of_stock",IF(U85&lt;7,"critical_low_stock",IF(U85&gt;60,"overstock","in_stock")))</x:f>
        <x:v>in_stock</x:v>
      </x:c>
      <x:c r="W85" s="17" t="str">
        <x:f>IF(O85&lt;=0,"OOS",IF(AND(U85&lt;7,AC85&gt;=0.5),"High Risk",IF(U85&lt;14,"Medium Risk",IF(U85&gt;60,"Overstock","Healthy"))))</x:f>
        <x:v>Healthy</x:v>
      </x:c>
      <x:c r="X85" s="22" t="n">
        <x:v>1019</x:v>
      </x:c>
      <x:c r="Y85" s="22" t="n">
        <x:v>37</x:v>
      </x:c>
      <x:c r="Z85" s="22" t="n">
        <x:v>4</x:v>
      </x:c>
      <x:c r="AA85" s="24" t="n">
        <x:f>IFERROR(Y85/X85*100,0)</x:f>
        <x:v>3.631010794896958</x:v>
      </x:c>
      <x:c r="AB85" s="26" t="n">
        <x:v>-21.9</x:v>
      </x:c>
      <x:c r="AC85" s="24" t="n">
        <x:f>IFERROR(Z85/X85*100,0)</x:f>
        <x:v>0.39254170755642787</x:v>
      </x:c>
      <x:c r="AD85" s="26" t="n">
        <x:v>181.3</x:v>
      </x:c>
      <x:c r="AE85" s="22" t="n">
        <x:f>IFERROR(Z85*M85,0)</x:f>
        <x:v>85040</x:v>
      </x:c>
      <x:c r="AF85" s="26" t="n">
        <x:v>180</x:v>
      </x:c>
      <x:c r="AG85" s="24" t="n">
        <x:v>65</x:v>
      </x:c>
      <x:c r="AH85" s="26" t="n">
        <x:v>-1.9</x:v>
      </x:c>
      <x:c r="AI85" s="22" t="n">
        <x:v>33</x:v>
      </x:c>
      <x:c r="AJ85" s="22" t="n">
        <x:v>18</x:v>
      </x:c>
      <x:c r="AK85" s="22" t="n">
        <x:v>11</x:v>
      </x:c>
      <x:c r="AL85" s="22" t="n">
        <x:v>8</x:v>
      </x:c>
      <x:c r="AM85" s="22" t="n">
        <x:v>7</x:v>
      </x:c>
      <x:c r="AN85" s="24" t="n">
        <x:f>IFERROR(AI85/X85*100,0)</x:f>
        <x:v>3.23846908734053</x:v>
      </x:c>
      <x:c r="AO85" s="24" t="n">
        <x:f>IFERROR(AJ85/X85*100,0)</x:f>
        <x:v>1.7664376840039255</x:v>
      </x:c>
      <x:c r="AP85" s="24" t="n">
        <x:f>IFERROR(AK85/X85*100,0)</x:f>
        <x:v>1.0794896957801767</x:v>
      </x:c>
      <x:c r="AQ85" s="24" t="n">
        <x:f>IFERROR(AL85/X85*100,0)</x:f>
        <x:v>0.7850834151128557</x:v>
      </x:c>
      <x:c r="AR85" s="24" t="n">
        <x:f>IFERROR(AM85/X85*100,0)</x:f>
        <x:v>0.6869479882237487</x:v>
      </x:c>
      <x:c r="AS85" s="24" t="n">
        <x:f>IFERROR(Z85/X85*100,0)</x:f>
        <x:v>0.39254170755642787</x:v>
      </x:c>
      <x:c r="AT85" s="26" t="n">
        <x:v>6.8</x:v>
      </x:c>
      <x:c r="AU85" s="26" t="n">
        <x:v>-13.9</x:v>
      </x:c>
      <x:c r="AV85" s="26" t="n">
        <x:v>-18.9</x:v>
      </x:c>
      <x:c r="AW85" s="26" t="n">
        <x:v>-17.8</x:v>
      </x:c>
      <x:c r="AX85" s="26" t="n">
        <x:v>-0.7</x:v>
      </x:c>
      <x:c r="AY85" s="26" t="n">
        <x:v>-19.4</x:v>
      </x:c>
      <x:c r="AZ85" s="26" t="n">
        <x:v>-21.4</x:v>
      </x:c>
      <x:c r="BA85" s="26" t="n">
        <x:v>200</x:v>
      </x:c>
      <x:c r="BB85" s="22" t="n">
        <x:f>IFERROR(AE85/Z85,0)</x:f>
        <x:v>21260</x:v>
      </x:c>
      <x:c r="BC85" s="17" t="n">
        <x:f>IF(OR(V85="out_of_stock",V85="critical_low_stock"),MAX(0,(14-U85)*T85),0)</x:f>
        <x:v>0</x:v>
      </x:c>
      <x:c r="BD85" s="22" t="n">
        <x:f>IFERROR(BC85*M85,0)</x:f>
        <x:v>0</x:v>
      </x:c>
      <x:c r="BE85" s="17" t="str">
        <x:v>stock_sales_behavior</x:v>
      </x:c>
      <x:c r="BF85" s="17" t="str">
        <x:v>copied_from_uploaded_product2 + synthetic_stock</x:v>
      </x:c>
    </x:row>
    <x:row r="86">
      <x:c r="A86" s="17" t="n">
        <x:v>85</x:v>
      </x:c>
      <x:c r="B86" s="17" t="str">
        <x:v>PRODUCT_STOCK_BEHAVIOR</x:v>
      </x:c>
      <x:c r="C86" s="20" t="n">
        <x:v>46144</x:v>
      </x:c>
      <x:c r="D86" s="17" t="str">
        <x:v>App</x:v>
      </x:c>
      <x:c r="E86" s="17" t="str">
        <x:v>App</x:v>
      </x:c>
      <x:c r="F86" s="17" t="str">
        <x:v>Social Paid</x:v>
      </x:c>
      <x:c r="G86" s="17" t="n">
        <x:v>28</x:v>
      </x:c>
      <x:c r="H86" s="17" t="str">
        <x:v>APPLE</x:v>
      </x:c>
      <x:c r="I86" s="17" t="str">
        <x:v>Telefon</x:v>
      </x:c>
      <x:c r="J86" s="17" t="str">
        <x:v>Cep Telefonları</x:v>
      </x:c>
      <x:c r="K86" s="17" t="str">
        <x:v>APPLE iPhone 15 256 GB Akıllı Telefon Yeşil MTPA3TU/A</x:v>
      </x:c>
      <x:c r="L86" s="17" t="str">
        <x:v>1232442</x:v>
      </x:c>
      <x:c r="M86" s="22" t="n">
        <x:v>37061</x:v>
      </x:c>
      <x:c r="N86" s="26" t="n">
        <x:v>2.6</x:v>
      </x:c>
      <x:c r="O86" s="22" t="n">
        <x:v>8</x:v>
      </x:c>
      <x:c r="P86" s="22" t="n">
        <x:v>10</x:v>
      </x:c>
      <x:c r="Q86" s="22" t="n">
        <x:v>0</x:v>
      </x:c>
      <x:c r="R86" s="17" t="n">
        <x:v>14</x:v>
      </x:c>
      <x:c r="S86" s="22" t="n">
        <x:v>9</x:v>
      </x:c>
      <x:c r="T86" s="24" t="n">
        <x:v>0.5</x:v>
      </x:c>
      <x:c r="U86" s="24" t="n">
        <x:f>IFERROR(O86/T86,0)</x:f>
        <x:v>16</x:v>
      </x:c>
      <x:c r="V86" s="17" t="str">
        <x:f>IF(O86&lt;=0,"out_of_stock",IF(U86&lt;7,"critical_low_stock",IF(U86&gt;60,"overstock","in_stock")))</x:f>
        <x:v>in_stock</x:v>
      </x:c>
      <x:c r="W86" s="17" t="str">
        <x:f>IF(O86&lt;=0,"OOS",IF(AND(U86&lt;7,AC86&gt;=0.5),"High Risk",IF(U86&lt;14,"Medium Risk",IF(U86&gt;60,"Overstock","Healthy"))))</x:f>
        <x:v>Healthy</x:v>
      </x:c>
      <x:c r="X86" s="22" t="n">
        <x:v>1015</x:v>
      </x:c>
      <x:c r="Y86" s="22" t="n">
        <x:v>0</x:v>
      </x:c>
      <x:c r="Z86" s="22" t="n">
        <x:v>0</x:v>
      </x:c>
      <x:c r="AA86" s="24" t="n">
        <x:f>IFERROR(Y86/X86*100,0)</x:f>
        <x:v>0</x:v>
      </x:c>
      <x:c r="AB86" s="26" t="n">
        <x:v>166</x:v>
      </x:c>
      <x:c r="AC86" s="24" t="n">
        <x:f>IFERROR(Z86/X86*100,0)</x:f>
        <x:v>0</x:v>
      </x:c>
      <x:c r="AD86" s="26" t="n">
        <x:v>166</x:v>
      </x:c>
      <x:c r="AE86" s="22" t="n">
        <x:f>IFERROR(Z86*M86,0)</x:f>
        <x:v>0</x:v>
      </x:c>
      <x:c r="AF86" s="26" t="n">
        <x:v>155</x:v>
      </x:c>
      <x:c r="AG86" s="24" t="n">
        <x:v>42</x:v>
      </x:c>
      <x:c r="AH86" s="26" t="n">
        <x:v>-27.8</x:v>
      </x:c>
      <x:c r="AI86" s="22" t="n">
        <x:v>0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4" t="n">
        <x:f>IFERROR(AI86/X86*100,0)</x:f>
        <x:v>0</x:v>
      </x:c>
      <x:c r="AO86" s="24" t="n">
        <x:f>IFERROR(AJ86/X86*100,0)</x:f>
        <x:v>0</x:v>
      </x:c>
      <x:c r="AP86" s="24" t="n">
        <x:f>IFERROR(AK86/X86*100,0)</x:f>
        <x:v>0</x:v>
      </x:c>
      <x:c r="AQ86" s="24" t="n">
        <x:f>IFERROR(AL86/X86*100,0)</x:f>
        <x:v>0</x:v>
      </x:c>
      <x:c r="AR86" s="24" t="n">
        <x:f>IFERROR(AM86/X86*100,0)</x:f>
        <x:v>0</x:v>
      </x:c>
      <x:c r="AS86" s="24" t="n">
        <x:f>IFERROR(Z86/X86*100,0)</x:f>
        <x:v>0</x:v>
      </x:c>
      <x:c r="AT86" s="26" t="n">
        <x:v>11.7</x:v>
      </x:c>
      <x:c r="AU86" s="26" t="n">
        <x:v>166</x:v>
      </x:c>
      <x:c r="AV86" s="26" t="n">
        <x:v>169</x:v>
      </x:c>
      <x:c r="AW86" s="26" t="n">
        <x:v>-6</x:v>
      </x:c>
      <x:c r="AX86" s="26" t="n">
        <x:v>-5.4</x:v>
      </x:c>
      <x:c r="AY86" s="26" t="n">
        <x:v>3.8</x:v>
      </x:c>
      <x:c r="AZ86" s="26" t="n">
        <x:v>-12.6</x:v>
      </x:c>
      <x:c r="BA86" s="26" t="n">
        <x:v>166</x:v>
      </x:c>
      <x:c r="BB86" s="22" t="n">
        <x:f>IFERROR(AE86/Z86,0)</x:f>
        <x:v>0</x:v>
      </x:c>
      <x:c r="BC86" s="17" t="n">
        <x:f>IF(OR(V86="out_of_stock",V86="critical_low_stock"),MAX(0,(14-U86)*T86),0)</x:f>
        <x:v>0</x:v>
      </x:c>
      <x:c r="BD86" s="22" t="n">
        <x:f>IFERROR(BC86*M86,0)</x:f>
        <x:v>0</x:v>
      </x:c>
      <x:c r="BE86" s="17" t="str">
        <x:v>stock_sales_behavior</x:v>
      </x:c>
      <x:c r="BF86" s="17" t="str">
        <x:v>copied_from_uploaded_product2 + synthetic_stock</x:v>
      </x:c>
    </x:row>
    <x:row r="87">
      <x:c r="A87" s="17" t="n">
        <x:v>86</x:v>
      </x:c>
      <x:c r="B87" s="17" t="str">
        <x:v>PRODUCT_STOCK_BEHAVIOR</x:v>
      </x:c>
      <x:c r="C87" s="20" t="n">
        <x:v>46145</x:v>
      </x:c>
      <x:c r="D87" s="17" t="str">
        <x:v>Mobile Web</x:v>
      </x:c>
      <x:c r="E87" s="17" t="str">
        <x:v>App</x:v>
      </x:c>
      <x:c r="F87" s="17" t="str">
        <x:v>Search Organic Brand</x:v>
      </x:c>
      <x:c r="G87" s="17" t="n">
        <x:v>40</x:v>
      </x:c>
      <x:c r="H87" s="17" t="str">
        <x:v>APPLE</x:v>
      </x:c>
      <x:c r="I87" s="17" t="str">
        <x:v>Telefon</x:v>
      </x:c>
      <x:c r="J87" s="17" t="str">
        <x:v>Giyilebilir Teknoloji</x:v>
      </x:c>
      <x:c r="K87" s="17" t="str">
        <x:v>APPLE MEUX4TU/A Watch Series 11 GPS 46mm Jet Siyah Alüminyum Kasa ve Siyah Spor Kordon - M/L</x:v>
      </x:c>
      <x:c r="L87" s="17" t="str">
        <x:v>1249342</x:v>
      </x:c>
      <x:c r="M87" s="22" t="n">
        <x:v>22377</x:v>
      </x:c>
      <x:c r="N87" s="26" t="n">
        <x:v>-7</x:v>
      </x:c>
      <x:c r="O87" s="22" t="n">
        <x:v>61</x:v>
      </x:c>
      <x:c r="P87" s="22" t="n">
        <x:v>86</x:v>
      </x:c>
      <x:c r="Q87" s="22" t="n">
        <x:v>0</x:v>
      </x:c>
      <x:c r="R87" s="17" t="n">
        <x:v>10</x:v>
      </x:c>
      <x:c r="S87" s="22" t="n">
        <x:v>38</x:v>
      </x:c>
      <x:c r="T87" s="24" t="n">
        <x:v>2.9</x:v>
      </x:c>
      <x:c r="U87" s="24" t="n">
        <x:f>IFERROR(O87/T87,0)</x:f>
        <x:v>21.03448275862069</x:v>
      </x:c>
      <x:c r="V87" s="17" t="str">
        <x:f>IF(O87&lt;=0,"out_of_stock",IF(U87&lt;7,"critical_low_stock",IF(U87&gt;60,"overstock","in_stock")))</x:f>
        <x:v>in_stock</x:v>
      </x:c>
      <x:c r="W87" s="17" t="str">
        <x:f>IF(O87&lt;=0,"OOS",IF(AND(U87&lt;7,AC87&gt;=0.5),"High Risk",IF(U87&lt;14,"Medium Risk",IF(U87&gt;60,"Overstock","Healthy"))))</x:f>
        <x:v>Healthy</x:v>
      </x:c>
      <x:c r="X87" s="22" t="n">
        <x:v>1007</x:v>
      </x:c>
      <x:c r="Y87" s="22" t="n">
        <x:v>89</x:v>
      </x:c>
      <x:c r="Z87" s="22" t="n">
        <x:v>4</x:v>
      </x:c>
      <x:c r="AA87" s="24" t="n">
        <x:f>IFERROR(Y87/X87*100,0)</x:f>
        <x:v>8.838133068520357</x:v>
      </x:c>
      <x:c r="AB87" s="26" t="n">
        <x:v>-20.1</x:v>
      </x:c>
      <x:c r="AC87" s="24" t="n">
        <x:f>IFERROR(Z87/X87*100,0)</x:f>
        <x:v>0.3972194637537239</x:v>
      </x:c>
      <x:c r="AD87" s="26" t="n">
        <x:v>-54</x:v>
      </x:c>
      <x:c r="AE87" s="22" t="n">
        <x:f>IFERROR(Z87*M87,0)</x:f>
        <x:v>89508</x:v>
      </x:c>
      <x:c r="AF87" s="26" t="n">
        <x:v>-33.1</x:v>
      </x:c>
      <x:c r="AG87" s="24" t="n">
        <x:v>70</x:v>
      </x:c>
      <x:c r="AH87" s="26" t="n">
        <x:v>-9</x:v>
      </x:c>
      <x:c r="AI87" s="22" t="n">
        <x:v>63</x:v>
      </x:c>
      <x:c r="AJ87" s="22" t="n">
        <x:v>32</x:v>
      </x:c>
      <x:c r="AK87" s="22" t="n">
        <x:v>26</x:v>
      </x:c>
      <x:c r="AL87" s="22" t="n">
        <x:v>18</x:v>
      </x:c>
      <x:c r="AM87" s="22" t="n">
        <x:v>11</x:v>
      </x:c>
      <x:c r="AN87" s="24" t="n">
        <x:f>IFERROR(AI87/X87*100,0)</x:f>
        <x:v>6.256206554121152</x:v>
      </x:c>
      <x:c r="AO87" s="24" t="n">
        <x:f>IFERROR(AJ87/X87*100,0)</x:f>
        <x:v>3.1777557100297913</x:v>
      </x:c>
      <x:c r="AP87" s="24" t="n">
        <x:f>IFERROR(AK87/X87*100,0)</x:f>
        <x:v>2.5819265143992056</x:v>
      </x:c>
      <x:c r="AQ87" s="24" t="n">
        <x:f>IFERROR(AL87/X87*100,0)</x:f>
        <x:v>1.787487586891758</x:v>
      </x:c>
      <x:c r="AR87" s="24" t="n">
        <x:f>IFERROR(AM87/X87*100,0)</x:f>
        <x:v>1.0923535253227408</x:v>
      </x:c>
      <x:c r="AS87" s="24" t="n">
        <x:f>IFERROR(Z87/X87*100,0)</x:f>
        <x:v>0.3972194637537239</x:v>
      </x:c>
      <x:c r="AT87" s="26" t="n">
        <x:v>66.7</x:v>
      </x:c>
      <x:c r="AU87" s="26" t="n">
        <x:v>18.5</x:v>
      </x:c>
      <x:c r="AV87" s="26" t="n">
        <x:v>14.8</x:v>
      </x:c>
      <x:c r="AW87" s="26" t="n">
        <x:v>-10.3</x:v>
      </x:c>
      <x:c r="AX87" s="26" t="n">
        <x:v>5.7</x:v>
      </x:c>
      <x:c r="AY87" s="26" t="n">
        <x:v>13.7</x:v>
      </x:c>
      <x:c r="AZ87" s="26" t="n">
        <x:v>8.9</x:v>
      </x:c>
      <x:c r="BA87" s="26" t="n">
        <x:v>-25</x:v>
      </x:c>
      <x:c r="BB87" s="22" t="n">
        <x:f>IFERROR(AE87/Z87,0)</x:f>
        <x:v>22377</x:v>
      </x:c>
      <x:c r="BC87" s="17" t="n">
        <x:f>IF(OR(V87="out_of_stock",V87="critical_low_stock"),MAX(0,(14-U87)*T87),0)</x:f>
        <x:v>0</x:v>
      </x:c>
      <x:c r="BD87" s="22" t="n">
        <x:f>IFERROR(BC87*M87,0)</x:f>
        <x:v>0</x:v>
      </x:c>
      <x:c r="BE87" s="17" t="str">
        <x:v>stock_sales_behavior</x:v>
      </x:c>
      <x:c r="BF87" s="17" t="str">
        <x:v>copied_from_uploaded_product2 + synthetic_stock</x:v>
      </x:c>
    </x:row>
    <x:row r="88">
      <x:c r="A88" s="17" t="n">
        <x:v>87</x:v>
      </x:c>
      <x:c r="B88" s="17" t="str">
        <x:v>PRODUCT_STOCK_BEHAVIOR</x:v>
      </x:c>
      <x:c r="C88" s="20" t="n">
        <x:v>46146</x:v>
      </x:c>
      <x:c r="D88" s="17" t="str">
        <x:v>Web</x:v>
      </x:c>
      <x:c r="E88" s="17" t="str">
        <x:v>Desktop</x:v>
      </x:c>
      <x:c r="F88" s="17" t="str">
        <x:v>Direct</x:v>
      </x:c>
      <x:c r="G88" s="17" t="n">
        <x:v>24</x:v>
      </x:c>
      <x:c r="H88" s="17" t="str">
        <x:v>APPLE</x:v>
      </x:c>
      <x:c r="I88" s="17" t="str">
        <x:v>Bilgisayar</x:v>
      </x:c>
      <x:c r="J88" s="17" t="str">
        <x:v>Tabletler</x:v>
      </x:c>
      <x:c r="K88" s="17" t="str">
        <x:v>APPLE MUWA3ZE/A USB-C Tablet Kalemi</x:v>
      </x:c>
      <x:c r="L88" s="17" t="str">
        <x:v>1234605</x:v>
      </x:c>
      <x:c r="M88" s="22" t="n">
        <x:v>6284</x:v>
      </x:c>
      <x:c r="N88" s="26" t="n">
        <x:v>14.2</x:v>
      </x:c>
      <x:c r="O88" s="22" t="n">
        <x:v>26</x:v>
      </x:c>
      <x:c r="P88" s="22" t="n">
        <x:v>23</x:v>
      </x:c>
      <x:c r="Q88" s="22" t="n">
        <x:v>57</x:v>
      </x:c>
      <x:c r="R88" s="17" t="n">
        <x:v>3</x:v>
      </x:c>
      <x:c r="S88" s="22" t="n">
        <x:v>47</x:v>
      </x:c>
      <x:c r="T88" s="24" t="n">
        <x:v>7.7</x:v>
      </x:c>
      <x:c r="U88" s="24" t="n">
        <x:f>IFERROR(O88/T88,0)</x:f>
        <x:v>3.3766233766233764</x:v>
      </x:c>
      <x:c r="V88" s="17" t="str">
        <x:f>IF(O88&lt;=0,"out_of_stock",IF(U88&lt;7,"critical_low_stock",IF(U88&gt;60,"overstock","in_stock")))</x:f>
        <x:v>critical_low_stock</x:v>
      </x:c>
      <x:c r="W88" s="17" t="str">
        <x:f>IF(O88&lt;=0,"OOS",IF(AND(U88&lt;7,AC88&gt;=0.5),"High Risk",IF(U88&lt;14,"Medium Risk",IF(U88&gt;60,"Overstock","Healthy"))))</x:f>
        <x:v>High Risk</x:v>
      </x:c>
      <x:c r="X88" s="22" t="n">
        <x:v>1000</x:v>
      </x:c>
      <x:c r="Y88" s="22" t="n">
        <x:v>308</x:v>
      </x:c>
      <x:c r="Z88" s="22" t="n">
        <x:v>45</x:v>
      </x:c>
      <x:c r="AA88" s="24" t="n">
        <x:f>IFERROR(Y88/X88*100,0)</x:f>
        <x:v>30.8</x:v>
      </x:c>
      <x:c r="AB88" s="26" t="n">
        <x:v>-7.2</x:v>
      </x:c>
      <x:c r="AC88" s="24" t="n">
        <x:f>IFERROR(Z88/X88*100,0)</x:f>
        <x:v>4.5</x:v>
      </x:c>
      <x:c r="AD88" s="26" t="n">
        <x:v>52.9</x:v>
      </x:c>
      <x:c r="AE88" s="22" t="n">
        <x:f>IFERROR(Z88*M88,0)</x:f>
        <x:v>282780</x:v>
      </x:c>
      <x:c r="AF88" s="26" t="n">
        <x:v>87.1</x:v>
      </x:c>
      <x:c r="AG88" s="24" t="n">
        <x:v>61</x:v>
      </x:c>
      <x:c r="AH88" s="26" t="n">
        <x:v>-6</x:v>
      </x:c>
      <x:c r="AI88" s="22" t="n">
        <x:v>181</x:v>
      </x:c>
      <x:c r="AJ88" s="22" t="n">
        <x:v>78</x:v>
      </x:c>
      <x:c r="AK88" s="22" t="n">
        <x:v>52</x:v>
      </x:c>
      <x:c r="AL88" s="22" t="n">
        <x:v>45</x:v>
      </x:c>
      <x:c r="AM88" s="22" t="n">
        <x:v>45</x:v>
      </x:c>
      <x:c r="AN88" s="24" t="n">
        <x:f>IFERROR(AI88/X88*100,0)</x:f>
        <x:v>18.099999999999998</x:v>
      </x:c>
      <x:c r="AO88" s="24" t="n">
        <x:f>IFERROR(AJ88/X88*100,0)</x:f>
        <x:v>7.8</x:v>
      </x:c>
      <x:c r="AP88" s="24" t="n">
        <x:f>IFERROR(AK88/X88*100,0)</x:f>
        <x:v>5.2</x:v>
      </x:c>
      <x:c r="AQ88" s="24" t="n">
        <x:f>IFERROR(AL88/X88*100,0)</x:f>
        <x:v>4.5</x:v>
      </x:c>
      <x:c r="AR88" s="24" t="n">
        <x:f>IFERROR(AM88/X88*100,0)</x:f>
        <x:v>4.5</x:v>
      </x:c>
      <x:c r="AS88" s="24" t="n">
        <x:f>IFERROR(Z88/X88*100,0)</x:f>
        <x:v>4.5</x:v>
      </x:c>
      <x:c r="AT88" s="26" t="n">
        <x:v>4</x:v>
      </x:c>
      <x:c r="AU88" s="26" t="n">
        <x:v>0</x:v>
      </x:c>
      <x:c r="AV88" s="26" t="n">
        <x:v>-6.2</x:v>
      </x:c>
      <x:c r="AW88" s="26" t="n">
        <x:v>-60.7</x:v>
      </x:c>
      <x:c r="AX88" s="26" t="n">
        <x:v>14.9</x:v>
      </x:c>
      <x:c r="AY88" s="26" t="n">
        <x:v>-4</x:v>
      </x:c>
      <x:c r="AZ88" s="26" t="n">
        <x:v>4.6</x:v>
      </x:c>
      <x:c r="BA88" s="26" t="n">
        <x:v>61.9</x:v>
      </x:c>
      <x:c r="BB88" s="22" t="n">
        <x:f>IFERROR(AE88/Z88,0)</x:f>
        <x:v>6284</x:v>
      </x:c>
      <x:c r="BC88" s="17" t="n">
        <x:f>IF(OR(V88="out_of_stock",V88="critical_low_stock"),MAX(0,(14-U88)*T88),0)</x:f>
        <x:v>81.8</x:v>
      </x:c>
      <x:c r="BD88" s="22" t="n">
        <x:f>IFERROR(BC88*M88,0)</x:f>
        <x:v>514031.19999999995</x:v>
      </x:c>
      <x:c r="BE88" s="17" t="str">
        <x:v>stock_sales_behavior</x:v>
      </x:c>
      <x:c r="BF88" s="17" t="str">
        <x:v>copied_from_uploaded_product2 + synthetic_stock</x:v>
      </x:c>
    </x:row>
    <x:row r="89">
      <x:c r="A89" s="17" t="n">
        <x:v>88</x:v>
      </x:c>
      <x:c r="B89" s="17" t="str">
        <x:v>PRODUCT_STOCK_BEHAVIOR</x:v>
      </x:c>
      <x:c r="C89" s="20" t="n">
        <x:v>46147</x:v>
      </x:c>
      <x:c r="D89" s="17" t="str">
        <x:v>Mobile Web</x:v>
      </x:c>
      <x:c r="E89" s="17" t="str">
        <x:v>App</x:v>
      </x:c>
      <x:c r="F89" s="17" t="str">
        <x:v>Search Paid Brand</x:v>
      </x:c>
      <x:c r="G89" s="17" t="n">
        <x:v>28</x:v>
      </x:c>
      <x:c r="H89" s="17" t="str">
        <x:v>HONOR</x:v>
      </x:c>
      <x:c r="I89" s="17" t="str">
        <x:v>Telefon</x:v>
      </x:c>
      <x:c r="J89" s="17" t="str">
        <x:v>Cep Telefonları</x:v>
      </x:c>
      <x:c r="K89" s="17" t="str">
        <x:v>HONOR Magic 8 Pro 12/512GB Akıllı Telefon Siyah</x:v>
      </x:c>
      <x:c r="L89" s="17" t="str">
        <x:v>1251989</x:v>
      </x:c>
      <x:c r="M89" s="22" t="n">
        <x:v>18297</x:v>
      </x:c>
      <x:c r="N89" s="26" t="n">
        <x:v>-19</x:v>
      </x:c>
      <x:c r="O89" s="22" t="n">
        <x:v>116</x:v>
      </x:c>
      <x:c r="P89" s="22" t="n">
        <x:v>65</x:v>
      </x:c>
      <x:c r="Q89" s="22" t="n">
        <x:v>0</x:v>
      </x:c>
      <x:c r="R89" s="17" t="n">
        <x:v>14</x:v>
      </x:c>
      <x:c r="S89" s="22" t="n">
        <x:v>65</x:v>
      </x:c>
      <x:c r="T89" s="24" t="n">
        <x:v>3.8</x:v>
      </x:c>
      <x:c r="U89" s="24" t="n">
        <x:f>IFERROR(O89/T89,0)</x:f>
        <x:v>30.526315789473685</x:v>
      </x:c>
      <x:c r="V89" s="17" t="str">
        <x:f>IF(O89&lt;=0,"out_of_stock",IF(U89&lt;7,"critical_low_stock",IF(U89&gt;60,"overstock","in_stock")))</x:f>
        <x:v>in_stock</x:v>
      </x:c>
      <x:c r="W89" s="17" t="str">
        <x:f>IF(O89&lt;=0,"OOS",IF(AND(U89&lt;7,AC89&gt;=0.5),"High Risk",IF(U89&lt;14,"Medium Risk",IF(U89&gt;60,"Overstock","Healthy"))))</x:f>
        <x:v>Healthy</x:v>
      </x:c>
      <x:c r="X89" s="22" t="n">
        <x:v>995</x:v>
      </x:c>
      <x:c r="Y89" s="22" t="n">
        <x:v>108</x:v>
      </x:c>
      <x:c r="Z89" s="22" t="n">
        <x:v>11</x:v>
      </x:c>
      <x:c r="AA89" s="24" t="n">
        <x:f>IFERROR(Y89/X89*100,0)</x:f>
        <x:v>10.854271356783919</x:v>
      </x:c>
      <x:c r="AB89" s="26" t="n">
        <x:v>-0.1</x:v>
      </x:c>
      <x:c r="AC89" s="24" t="n">
        <x:f>IFERROR(Z89/X89*100,0)</x:f>
        <x:v>1.105527638190955</x:v>
      </x:c>
      <x:c r="AD89" s="26" t="n">
        <x:v>-6.1</x:v>
      </x:c>
      <x:c r="AE89" s="22" t="n">
        <x:f>IFERROR(Z89*M89,0)</x:f>
        <x:v>201267</x:v>
      </x:c>
      <x:c r="AF89" s="26" t="n">
        <x:v>2.9</x:v>
      </x:c>
      <x:c r="AG89" s="24" t="n">
        <x:v>47</x:v>
      </x:c>
      <x:c r="AH89" s="26" t="n">
        <x:v>-2.6</x:v>
      </x:c>
      <x:c r="AI89" s="22" t="n">
        <x:v>85</x:v>
      </x:c>
      <x:c r="AJ89" s="22" t="n">
        <x:v>27</x:v>
      </x:c>
      <x:c r="AK89" s="22" t="n">
        <x:v>17</x:v>
      </x:c>
      <x:c r="AL89" s="22" t="n">
        <x:v>15</x:v>
      </x:c>
      <x:c r="AM89" s="22" t="n">
        <x:v>12</x:v>
      </x:c>
      <x:c r="AN89" s="24" t="n">
        <x:f>IFERROR(AI89/X89*100,0)</x:f>
        <x:v>8.542713567839195</x:v>
      </x:c>
      <x:c r="AO89" s="24" t="n">
        <x:f>IFERROR(AJ89/X89*100,0)</x:f>
        <x:v>2.7135678391959797</x:v>
      </x:c>
      <x:c r="AP89" s="24" t="n">
        <x:f>IFERROR(AK89/X89*100,0)</x:f>
        <x:v>1.7085427135678393</x:v>
      </x:c>
      <x:c r="AQ89" s="24" t="n">
        <x:f>IFERROR(AL89/X89*100,0)</x:f>
        <x:v>1.507537688442211</x:v>
      </x:c>
      <x:c r="AR89" s="24" t="n">
        <x:f>IFERROR(AM89/X89*100,0)</x:f>
        <x:v>1.2060301507537687</x:v>
      </x:c>
      <x:c r="AS89" s="24" t="n">
        <x:f>IFERROR(Z89/X89*100,0)</x:f>
        <x:v>1.105527638190955</x:v>
      </x:c>
      <x:c r="AT89" s="26" t="n">
        <x:v>26.9</x:v>
      </x:c>
      <x:c r="AU89" s="26" t="n">
        <x:v>14.1</x:v>
      </x:c>
      <x:c r="AV89" s="26" t="n">
        <x:v>21</x:v>
      </x:c>
      <x:c r="AW89" s="26" t="n">
        <x:v>-36.2</x:v>
      </x:c>
      <x:c r="AX89" s="26" t="n">
        <x:v>10.9</x:v>
      </x:c>
      <x:c r="AY89" s="26" t="n">
        <x:v>7.7</x:v>
      </x:c>
      <x:c r="AZ89" s="26" t="n">
        <x:v>-0.6</x:v>
      </x:c>
      <x:c r="BA89" s="26" t="n">
        <x:v>16.7</x:v>
      </x:c>
      <x:c r="BB89" s="22" t="n">
        <x:f>IFERROR(AE89/Z89,0)</x:f>
        <x:v>18297</x:v>
      </x:c>
      <x:c r="BC89" s="17" t="n">
        <x:f>IF(OR(V89="out_of_stock",V89="critical_low_stock"),MAX(0,(14-U89)*T89),0)</x:f>
        <x:v>0</x:v>
      </x:c>
      <x:c r="BD89" s="22" t="n">
        <x:f>IFERROR(BC89*M89,0)</x:f>
        <x:v>0</x:v>
      </x:c>
      <x:c r="BE89" s="17" t="str">
        <x:v>stock_sales_behavior</x:v>
      </x:c>
      <x:c r="BF89" s="17" t="str">
        <x:v>copied_from_uploaded_product2 + synthetic_stock</x:v>
      </x:c>
    </x:row>
    <x:row r="90">
      <x:c r="A90" s="17" t="n">
        <x:v>89</x:v>
      </x:c>
      <x:c r="B90" s="17" t="str">
        <x:v>PRODUCT_STOCK_BEHAVIOR</x:v>
      </x:c>
      <x:c r="C90" s="20" t="n">
        <x:v>46148</x:v>
      </x:c>
      <x:c r="D90" s="17" t="str">
        <x:v>Web</x:v>
      </x:c>
      <x:c r="E90" s="17" t="str">
        <x:v>Mobile</x:v>
      </x:c>
      <x:c r="F90" s="17" t="str">
        <x:v>Search Paid Generic</x:v>
      </x:c>
      <x:c r="G90" s="17" t="n">
        <x:v>32</x:v>
      </x:c>
      <x:c r="H90" s="17" t="str">
        <x:v>LG</x:v>
      </x:c>
      <x:c r="I90" s="17" t="str">
        <x:v>TV</x:v>
      </x:c>
      <x:c r="J90" s="17" t="str">
        <x:v>TV</x:v>
      </x:c>
      <x:c r="K90" s="17" t="str">
        <x:v>LG 65QNED70A6A 65 inç 165 Ekran Uydu Alıcılı AI Sihirli Kumanda HDR10 webOS25 AI 4K Smart QNED TV</x:v>
      </x:c>
      <x:c r="L90" s="17" t="str">
        <x:v>1248353</x:v>
      </x:c>
      <x:c r="M90" s="22" t="n">
        <x:v>50982</x:v>
      </x:c>
      <x:c r="N90" s="26" t="n">
        <x:v>-18</x:v>
      </x:c>
      <x:c r="O90" s="22" t="n">
        <x:v>8</x:v>
      </x:c>
      <x:c r="P90" s="22" t="n">
        <x:v>8</x:v>
      </x:c>
      <x:c r="Q90" s="22" t="n">
        <x:v>0</x:v>
      </x:c>
      <x:c r="R90" s="17" t="n">
        <x:v>14</x:v>
      </x:c>
      <x:c r="S90" s="22" t="n">
        <x:v>7</x:v>
      </x:c>
      <x:c r="T90" s="24" t="n">
        <x:v>0.4</x:v>
      </x:c>
      <x:c r="U90" s="24" t="n">
        <x:f>IFERROR(O90/T90,0)</x:f>
        <x:v>20</x:v>
      </x:c>
      <x:c r="V90" s="17" t="str">
        <x:f>IF(O90&lt;=0,"out_of_stock",IF(U90&lt;7,"critical_low_stock",IF(U90&gt;60,"overstock","in_stock")))</x:f>
        <x:v>in_stock</x:v>
      </x:c>
      <x:c r="W90" s="17" t="str">
        <x:f>IF(O90&lt;=0,"OOS",IF(AND(U90&lt;7,AC90&gt;=0.5),"High Risk",IF(U90&lt;14,"Medium Risk",IF(U90&gt;60,"Overstock","Healthy"))))</x:f>
        <x:v>Healthy</x:v>
      </x:c>
      <x:c r="X90" s="22" t="n">
        <x:v>991</x:v>
      </x:c>
      <x:c r="Y90" s="22" t="n">
        <x:v>64</x:v>
      </x:c>
      <x:c r="Z90" s="22" t="n">
        <x:v>1</x:v>
      </x:c>
      <x:c r="AA90" s="24" t="n">
        <x:f>IFERROR(Y90/X90*100,0)</x:f>
        <x:v>6.458123107971746</x:v>
      </x:c>
      <x:c r="AB90" s="26" t="n">
        <x:v>-6.7</x:v>
      </x:c>
      <x:c r="AC90" s="24" t="n">
        <x:f>IFERROR(Z90/X90*100,0)</x:f>
        <x:v>0.10090817356205853</x:v>
      </x:c>
      <x:c r="AD90" s="26" t="n">
        <x:v>-10.5</x:v>
      </x:c>
      <x:c r="AE90" s="22" t="n">
        <x:f>IFERROR(Z90*M90,0)</x:f>
        <x:v>50982</x:v>
      </x:c>
      <x:c r="AF90" s="26" t="n">
        <x:v>-12.6</x:v>
      </x:c>
      <x:c r="AG90" s="24" t="n">
        <x:v>66</x:v>
      </x:c>
      <x:c r="AH90" s="26" t="n">
        <x:v>10.4</x:v>
      </x:c>
      <x:c r="AI90" s="22" t="n">
        <x:v>37</x:v>
      </x:c>
      <x:c r="AJ90" s="22" t="n">
        <x:v>19</x:v>
      </x:c>
      <x:c r="AK90" s="22" t="n">
        <x:v>16</x:v>
      </x:c>
      <x:c r="AL90" s="22" t="n">
        <x:v>12</x:v>
      </x:c>
      <x:c r="AM90" s="22" t="n">
        <x:v>11</x:v>
      </x:c>
      <x:c r="AN90" s="24" t="n">
        <x:f>IFERROR(AI90/X90*100,0)</x:f>
        <x:v>3.733602421796166</x:v>
      </x:c>
      <x:c r="AO90" s="24" t="n">
        <x:f>IFERROR(AJ90/X90*100,0)</x:f>
        <x:v>1.917255297679112</x:v>
      </x:c>
      <x:c r="AP90" s="24" t="n">
        <x:f>IFERROR(AK90/X90*100,0)</x:f>
        <x:v>1.6145307769929365</x:v>
      </x:c>
      <x:c r="AQ90" s="24" t="n">
        <x:f>IFERROR(AL90/X90*100,0)</x:f>
        <x:v>1.2108980827447022</x:v>
      </x:c>
      <x:c r="AR90" s="24" t="n">
        <x:f>IFERROR(AM90/X90*100,0)</x:f>
        <x:v>1.109989909182644</x:v>
      </x:c>
      <x:c r="AS90" s="24" t="n">
        <x:f>IFERROR(Z90/X90*100,0)</x:f>
        <x:v>0.10090817356205853</x:v>
      </x:c>
      <x:c r="AT90" s="26" t="n">
        <x:v>12.5</x:v>
      </x:c>
      <x:c r="AU90" s="26" t="n">
        <x:v>9.8</x:v>
      </x:c>
      <x:c r="AV90" s="26" t="n">
        <x:v>7.7</x:v>
      </x:c>
      <x:c r="AW90" s="26" t="n">
        <x:v>-3.5</x:v>
      </x:c>
      <x:c r="AX90" s="26" t="n">
        <x:v>-8.1</x:v>
      </x:c>
      <x:c r="AY90" s="26" t="n">
        <x:v>17.3</x:v>
      </x:c>
      <x:c r="AZ90" s="26" t="n">
        <x:v>-1</x:v>
      </x:c>
      <x:c r="BA90" s="26" t="n">
        <x:v>0</x:v>
      </x:c>
      <x:c r="BB90" s="22" t="n">
        <x:f>IFERROR(AE90/Z90,0)</x:f>
        <x:v>50982</x:v>
      </x:c>
      <x:c r="BC90" s="17" t="n">
        <x:f>IF(OR(V90="out_of_stock",V90="critical_low_stock"),MAX(0,(14-U90)*T90),0)</x:f>
        <x:v>0</x:v>
      </x:c>
      <x:c r="BD90" s="22" t="n">
        <x:f>IFERROR(BC90*M90,0)</x:f>
        <x:v>0</x:v>
      </x:c>
      <x:c r="BE90" s="17" t="str">
        <x:v>stock_sales_behavior</x:v>
      </x:c>
      <x:c r="BF90" s="17" t="str">
        <x:v>copied_from_uploaded_product2 + synthetic_stock</x:v>
      </x:c>
    </x:row>
    <x:row r="91">
      <x:c r="A91" s="17" t="n">
        <x:v>90</x:v>
      </x:c>
      <x:c r="B91" s="17" t="str">
        <x:v>PRODUCT_STOCK_BEHAVIOR</x:v>
      </x:c>
      <x:c r="C91" s="20" t="n">
        <x:v>46149</x:v>
      </x:c>
      <x:c r="D91" s="17" t="str">
        <x:v>App</x:v>
      </x:c>
      <x:c r="E91" s="17" t="str">
        <x:v>App</x:v>
      </x:c>
      <x:c r="F91" s="17" t="str">
        <x:v>Social Paid</x:v>
      </x:c>
      <x:c r="G91" s="17" t="n">
        <x:v>34</x:v>
      </x:c>
      <x:c r="H91" s="17" t="str">
        <x:v>DYSON</x:v>
      </x:c>
      <x:c r="I91" s="17" t="str">
        <x:v>Ev Aletleri &amp; Yaşam</x:v>
      </x:c>
      <x:c r="J91" s="17" t="str">
        <x:v>Süpürgeler</x:v>
      </x:c>
      <x:c r="K91" s="17" t="str">
        <x:v>DYSON V10 Total Clean Kablosuz Şarjlı Dikey Süpürge</x:v>
      </x:c>
      <x:c r="L91" s="17" t="str">
        <x:v>1249843</x:v>
      </x:c>
      <x:c r="M91" s="22" t="n">
        <x:v>23045</x:v>
      </x:c>
      <x:c r="N91" s="26" t="n">
        <x:v>7.1</x:v>
      </x:c>
      <x:c r="O91" s="22" t="n">
        <x:v>6</x:v>
      </x:c>
      <x:c r="P91" s="22" t="n">
        <x:v>2</x:v>
      </x:c>
      <x:c r="Q91" s="22" t="n">
        <x:v>26</x:v>
      </x:c>
      <x:c r="R91" s="17" t="n">
        <x:v>3</x:v>
      </x:c>
      <x:c r="S91" s="22" t="n">
        <x:v>16</x:v>
      </x:c>
      <x:c r="T91" s="24" t="n">
        <x:v>2.6</x:v>
      </x:c>
      <x:c r="U91" s="24" t="n">
        <x:f>IFERROR(O91/T91,0)</x:f>
        <x:v>2.3076923076923075</x:v>
      </x:c>
      <x:c r="V91" s="17" t="str">
        <x:f>IF(O91&lt;=0,"out_of_stock",IF(U91&lt;7,"critical_low_stock",IF(U91&gt;60,"overstock","in_stock")))</x:f>
        <x:v>critical_low_stock</x:v>
      </x:c>
      <x:c r="W91" s="17" t="str">
        <x:f>IF(O91&lt;=0,"OOS",IF(AND(U91&lt;7,AC91&gt;=0.5),"High Risk",IF(U91&lt;14,"Medium Risk",IF(U91&gt;60,"Overstock","Healthy"))))</x:f>
        <x:v>High Risk</x:v>
      </x:c>
      <x:c r="X91" s="22" t="n">
        <x:v>985</x:v>
      </x:c>
      <x:c r="Y91" s="22" t="n">
        <x:v>98</x:v>
      </x:c>
      <x:c r="Z91" s="22" t="n">
        <x:v>11</x:v>
      </x:c>
      <x:c r="AA91" s="24" t="n">
        <x:f>IFERROR(Y91/X91*100,0)</x:f>
        <x:v>9.949238578680204</x:v>
      </x:c>
      <x:c r="AB91" s="26" t="n">
        <x:v>34.7</x:v>
      </x:c>
      <x:c r="AC91" s="24" t="n">
        <x:f>IFERROR(Z91/X91*100,0)</x:f>
        <x:v>1.116751269035533</x:v>
      </x:c>
      <x:c r="AD91" s="26" t="n">
        <x:v>27.9</x:v>
      </x:c>
      <x:c r="AE91" s="22" t="n">
        <x:f>IFERROR(Z91*M91,0)</x:f>
        <x:v>253495</x:v>
      </x:c>
      <x:c r="AF91" s="26" t="n">
        <x:v>11.3</x:v>
      </x:c>
      <x:c r="AG91" s="24" t="n">
        <x:v>59</x:v>
      </x:c>
      <x:c r="AH91" s="26" t="n">
        <x:v>9.9</x:v>
      </x:c>
      <x:c r="AI91" s="22" t="n">
        <x:v>72</x:v>
      </x:c>
      <x:c r="AJ91" s="22" t="n">
        <x:v>41</x:v>
      </x:c>
      <x:c r="AK91" s="22" t="n">
        <x:v>30</x:v>
      </x:c>
      <x:c r="AL91" s="22" t="n">
        <x:v>23</x:v>
      </x:c>
      <x:c r="AM91" s="22" t="n">
        <x:v>16</x:v>
      </x:c>
      <x:c r="AN91" s="24" t="n">
        <x:f>IFERROR(AI91/X91*100,0)</x:f>
        <x:v>7.309644670050762</x:v>
      </x:c>
      <x:c r="AO91" s="24" t="n">
        <x:f>IFERROR(AJ91/X91*100,0)</x:f>
        <x:v>4.16243654822335</x:v>
      </x:c>
      <x:c r="AP91" s="24" t="n">
        <x:f>IFERROR(AK91/X91*100,0)</x:f>
        <x:v>3.0456852791878175</x:v>
      </x:c>
      <x:c r="AQ91" s="24" t="n">
        <x:f>IFERROR(AL91/X91*100,0)</x:f>
        <x:v>2.33502538071066</x:v>
      </x:c>
      <x:c r="AR91" s="24" t="n">
        <x:f>IFERROR(AM91/X91*100,0)</x:f>
        <x:v>1.6243654822335025</x:v>
      </x:c>
      <x:c r="AS91" s="24" t="n">
        <x:f>IFERROR(Z91/X91*100,0)</x:f>
        <x:v>1.116751269035533</x:v>
      </x:c>
      <x:c r="AT91" s="26" t="n">
        <x:v>-9.6</x:v>
      </x:c>
      <x:c r="AU91" s="26" t="n">
        <x:v>9.5</x:v>
      </x:c>
      <x:c r="AV91" s="26" t="n">
        <x:v>11.4</x:v>
      </x:c>
      <x:c r="AW91" s="26" t="n">
        <x:v>-29.3</x:v>
      </x:c>
      <x:c r="AX91" s="26" t="n">
        <x:v>-2.2</x:v>
      </x:c>
      <x:c r="AY91" s="26" t="n">
        <x:v>-3</x:v>
      </x:c>
      <x:c r="AZ91" s="26" t="n">
        <x:v>-9.7</x:v>
      </x:c>
      <x:c r="BA91" s="26" t="n">
        <x:v>14.3</x:v>
      </x:c>
      <x:c r="BB91" s="22" t="n">
        <x:f>IFERROR(AE91/Z91,0)</x:f>
        <x:v>23045</x:v>
      </x:c>
      <x:c r="BC91" s="17" t="n">
        <x:f>IF(OR(V91="out_of_stock",V91="critical_low_stock"),MAX(0,(14-U91)*T91),0)</x:f>
        <x:v>30.400000000000002</x:v>
      </x:c>
      <x:c r="BD91" s="22" t="n">
        <x:f>IFERROR(BC91*M91,0)</x:f>
        <x:v>700568</x:v>
      </x:c>
      <x:c r="BE91" s="17" t="str">
        <x:v>stock_sales_behavior</x:v>
      </x:c>
      <x:c r="BF91" s="17" t="str">
        <x:v>copied_from_uploaded_product2 + synthetic_stock</x:v>
      </x:c>
    </x:row>
    <x:row r="92">
      <x:c r="A92" s="17" t="n">
        <x:v>91</x:v>
      </x:c>
      <x:c r="B92" s="17" t="str">
        <x:v>PRODUCT_STOCK_BEHAVIOR</x:v>
      </x:c>
      <x:c r="C92" s="20" t="n">
        <x:v>46150</x:v>
      </x:c>
      <x:c r="D92" s="17" t="str">
        <x:v>App</x:v>
      </x:c>
      <x:c r="E92" s="17" t="str">
        <x:v>App</x:v>
      </x:c>
      <x:c r="F92" s="17" t="str">
        <x:v>Search Organic Generic</x:v>
      </x:c>
      <x:c r="G92" s="17" t="n">
        <x:v>99</x:v>
      </x:c>
      <x:c r="H92" s="17" t="str">
        <x:v>BRAUN</x:v>
      </x:c>
      <x:c r="I92" s="17" t="str">
        <x:v>Other</x:v>
      </x:c>
      <x:c r="J92" s="17" t="str">
        <x:v>Other</x:v>
      </x:c>
      <x:c r="K92" s="17" t="str">
        <x:v>BRAUN FACE FS1000 Mini Tüy Alma Cihazı Beyaz</x:v>
      </x:c>
      <x:c r="L92" s="17" t="str">
        <x:v>1215714</x:v>
      </x:c>
      <x:c r="M92" s="22" t="n">
        <x:v>17561</x:v>
      </x:c>
      <x:c r="N92" s="26" t="n">
        <x:v>16.7</x:v>
      </x:c>
      <x:c r="O92" s="22" t="n">
        <x:v>18</x:v>
      </x:c>
      <x:c r="P92" s="22" t="n">
        <x:v>15</x:v>
      </x:c>
      <x:c r="Q92" s="22" t="n">
        <x:v>68</x:v>
      </x:c>
      <x:c r="R92" s="17" t="n">
        <x:v>21</x:v>
      </x:c>
      <x:c r="S92" s="22" t="n">
        <x:v>29</x:v>
      </x:c>
      <x:c r="T92" s="24" t="n">
        <x:v>1.2</x:v>
      </x:c>
      <x:c r="U92" s="24" t="n">
        <x:f>IFERROR(O92/T92,0)</x:f>
        <x:v>15</x:v>
      </x:c>
      <x:c r="V92" s="17" t="str">
        <x:f>IF(O92&lt;=0,"out_of_stock",IF(U92&lt;7,"critical_low_stock",IF(U92&gt;60,"overstock","in_stock")))</x:f>
        <x:v>in_stock</x:v>
      </x:c>
      <x:c r="W92" s="17" t="str">
        <x:f>IF(O92&lt;=0,"OOS",IF(AND(U92&lt;7,AC92&gt;=0.5),"High Risk",IF(U92&lt;14,"Medium Risk",IF(U92&gt;60,"Overstock","Healthy"))))</x:f>
        <x:v>Healthy</x:v>
      </x:c>
      <x:c r="X92" s="22" t="n">
        <x:v>972</x:v>
      </x:c>
      <x:c r="Y92" s="22" t="n">
        <x:v>45</x:v>
      </x:c>
      <x:c r="Z92" s="22" t="n">
        <x:v>2</x:v>
      </x:c>
      <x:c r="AA92" s="24" t="n">
        <x:f>IFERROR(Y92/X92*100,0)</x:f>
        <x:v>4.62962962962963</x:v>
      </x:c>
      <x:c r="AB92" s="26" t="n">
        <x:v>-14.5</x:v>
      </x:c>
      <x:c r="AC92" s="24" t="n">
        <x:f>IFERROR(Z92/X92*100,0)</x:f>
        <x:v>0.205761316872428</x:v>
      </x:c>
      <x:c r="AD92" s="26" t="n">
        <x:v>-70.6</x:v>
      </x:c>
      <x:c r="AE92" s="22" t="n">
        <x:f>IFERROR(Z92*M92,0)</x:f>
        <x:v>35122</x:v>
      </x:c>
      <x:c r="AF92" s="26" t="n">
        <x:v>-44.1</x:v>
      </x:c>
      <x:c r="AG92" s="24" t="n">
        <x:v>73</x:v>
      </x:c>
      <x:c r="AH92" s="26" t="n">
        <x:v>0.8</x:v>
      </x:c>
      <x:c r="AI92" s="22" t="n">
        <x:v>40</x:v>
      </x:c>
      <x:c r="AJ92" s="22" t="n">
        <x:v>23</x:v>
      </x:c>
      <x:c r="AK92" s="22" t="n">
        <x:v>18</x:v>
      </x:c>
      <x:c r="AL92" s="22" t="n">
        <x:v>13</x:v>
      </x:c>
      <x:c r="AM92" s="22" t="n">
        <x:v>9</x:v>
      </x:c>
      <x:c r="AN92" s="24" t="n">
        <x:f>IFERROR(AI92/X92*100,0)</x:f>
        <x:v>4.11522633744856</x:v>
      </x:c>
      <x:c r="AO92" s="24" t="n">
        <x:f>IFERROR(AJ92/X92*100,0)</x:f>
        <x:v>2.366255144032922</x:v>
      </x:c>
      <x:c r="AP92" s="24" t="n">
        <x:f>IFERROR(AK92/X92*100,0)</x:f>
        <x:v>1.8518518518518516</x:v>
      </x:c>
      <x:c r="AQ92" s="24" t="n">
        <x:f>IFERROR(AL92/X92*100,0)</x:f>
        <x:v>1.337448559670782</x:v>
      </x:c>
      <x:c r="AR92" s="24" t="n">
        <x:f>IFERROR(AM92/X92*100,0)</x:f>
        <x:v>0.9259259259259258</x:v>
      </x:c>
      <x:c r="AS92" s="24" t="n">
        <x:f>IFERROR(Z92/X92*100,0)</x:f>
        <x:v>0.205761316872428</x:v>
      </x:c>
      <x:c r="AT92" s="26" t="n">
        <x:v>-14</x:v>
      </x:c>
      <x:c r="AU92" s="26" t="n">
        <x:v>-25</x:v>
      </x:c>
      <x:c r="AV92" s="26" t="n">
        <x:v>-20.6</x:v>
      </x:c>
      <x:c r="AW92" s="26" t="n">
        <x:v>-22.5</x:v>
      </x:c>
      <x:c r="AX92" s="26" t="n">
        <x:v>-14</x:v>
      </x:c>
      <x:c r="AY92" s="26" t="n">
        <x:v>3.3</x:v>
      </x:c>
      <x:c r="AZ92" s="26" t="n">
        <x:v>-7.1</x:v>
      </x:c>
      <x:c r="BA92" s="26" t="n">
        <x:v>-75</x:v>
      </x:c>
      <x:c r="BB92" s="22" t="n">
        <x:f>IFERROR(AE92/Z92,0)</x:f>
        <x:v>17561</x:v>
      </x:c>
      <x:c r="BC92" s="17" t="n">
        <x:f>IF(OR(V92="out_of_stock",V92="critical_low_stock"),MAX(0,(14-U92)*T92),0)</x:f>
        <x:v>0</x:v>
      </x:c>
      <x:c r="BD92" s="22" t="n">
        <x:f>IFERROR(BC92*M92,0)</x:f>
        <x:v>0</x:v>
      </x:c>
      <x:c r="BE92" s="17" t="str">
        <x:v>stock_sales_behavior</x:v>
      </x:c>
      <x:c r="BF92" s="17" t="str">
        <x:v>copied_from_uploaded_product2 + synthetic_stock</x:v>
      </x:c>
    </x:row>
    <x:row r="93">
      <x:c r="A93" s="17" t="n">
        <x:v>92</x:v>
      </x:c>
      <x:c r="B93" s="17" t="str">
        <x:v>PRODUCT_STOCK_BEHAVIOR</x:v>
      </x:c>
      <x:c r="C93" s="20" t="n">
        <x:v>46151</x:v>
      </x:c>
      <x:c r="D93" s="17" t="str">
        <x:v>App</x:v>
      </x:c>
      <x:c r="E93" s="17" t="str">
        <x:v>Desktop</x:v>
      </x:c>
      <x:c r="F93" s="17" t="str">
        <x:v>Search Paid Brand</x:v>
      </x:c>
      <x:c r="G93" s="17" t="n">
        <x:v>99</x:v>
      </x:c>
      <x:c r="H93" s="17" t="str">
        <x:v>PHILIPS</x:v>
      </x:c>
      <x:c r="I93" s="17" t="str">
        <x:v>Other</x:v>
      </x:c>
      <x:c r="J93" s="17" t="str">
        <x:v>Other</x:v>
      </x:c>
      <x:c r="K93" s="17" t="str">
        <x:v>PHILIPS LatteGo EP2331/10 Tam Otomatik Espresso Makinesi</x:v>
      </x:c>
      <x:c r="L93" s="17" t="str">
        <x:v>1235245</x:v>
      </x:c>
      <x:c r="M93" s="22" t="n">
        <x:v>29563</x:v>
      </x:c>
      <x:c r="N93" s="26" t="n">
        <x:v>-2.9</x:v>
      </x:c>
      <x:c r="O93" s="22" t="n">
        <x:v>24</x:v>
      </x:c>
      <x:c r="P93" s="22" t="n">
        <x:v>39</x:v>
      </x:c>
      <x:c r="Q93" s="22" t="n">
        <x:v>0</x:v>
      </x:c>
      <x:c r="R93" s="17" t="n">
        <x:v>5</x:v>
      </x:c>
      <x:c r="S93" s="22" t="n">
        <x:v>17</x:v>
      </x:c>
      <x:c r="T93" s="24" t="n">
        <x:v>2.1</x:v>
      </x:c>
      <x:c r="U93" s="24" t="n">
        <x:f>IFERROR(O93/T93,0)</x:f>
        <x:v>11.428571428571429</x:v>
      </x:c>
      <x:c r="V93" s="17" t="str">
        <x:f>IF(O93&lt;=0,"out_of_stock",IF(U93&lt;7,"critical_low_stock",IF(U93&gt;60,"overstock","in_stock")))</x:f>
        <x:v>in_stock</x:v>
      </x:c>
      <x:c r="W93" s="17" t="str">
        <x:f>IF(O93&lt;=0,"OOS",IF(AND(U93&lt;7,AC93&gt;=0.5),"High Risk",IF(U93&lt;14,"Medium Risk",IF(U93&gt;60,"Overstock","Healthy"))))</x:f>
        <x:v>Medium Risk</x:v>
      </x:c>
      <x:c r="X93" s="22" t="n">
        <x:v>954</x:v>
      </x:c>
      <x:c r="Y93" s="22" t="n">
        <x:v>46</x:v>
      </x:c>
      <x:c r="Z93" s="22" t="n">
        <x:v>1</x:v>
      </x:c>
      <x:c r="AA93" s="24" t="n">
        <x:f>IFERROR(Y93/X93*100,0)</x:f>
        <x:v>4.821802935010482</x:v>
      </x:c>
      <x:c r="AB93" s="26" t="n">
        <x:v>43.8</x:v>
      </x:c>
      <x:c r="AC93" s="24" t="n">
        <x:f>IFERROR(Z93/X93*100,0)</x:f>
        <x:v>0.10482180293501049</x:v>
      </x:c>
      <x:c r="AD93" s="26" t="n">
        <x:v>166</x:v>
      </x:c>
      <x:c r="AE93" s="22" t="n">
        <x:f>IFERROR(Z93*M93,0)</x:f>
        <x:v>29563</x:v>
      </x:c>
      <x:c r="AF93" s="26" t="n">
        <x:v>160.4</x:v>
      </x:c>
      <x:c r="AG93" s="24" t="n">
        <x:v>66</x:v>
      </x:c>
      <x:c r="AH93" s="26" t="n">
        <x:v>-3.4</x:v>
      </x:c>
      <x:c r="AI93" s="22" t="n">
        <x:v>27</x:v>
      </x:c>
      <x:c r="AJ93" s="22" t="n">
        <x:v>8</x:v>
      </x:c>
      <x:c r="AK93" s="22" t="n">
        <x:v>5</x:v>
      </x:c>
      <x:c r="AL93" s="22" t="n">
        <x:v>4</x:v>
      </x:c>
      <x:c r="AM93" s="22" t="n">
        <x:v>3</x:v>
      </x:c>
      <x:c r="AN93" s="24" t="n">
        <x:f>IFERROR(AI93/X93*100,0)</x:f>
        <x:v>2.8301886792452833</x:v>
      </x:c>
      <x:c r="AO93" s="24" t="n">
        <x:f>IFERROR(AJ93/X93*100,0)</x:f>
        <x:v>0.8385744234800839</x:v>
      </x:c>
      <x:c r="AP93" s="24" t="n">
        <x:f>IFERROR(AK93/X93*100,0)</x:f>
        <x:v>0.5241090146750524</x:v>
      </x:c>
      <x:c r="AQ93" s="24" t="n">
        <x:f>IFERROR(AL93/X93*100,0)</x:f>
        <x:v>0.41928721174004197</x:v>
      </x:c>
      <x:c r="AR93" s="24" t="n">
        <x:f>IFERROR(AM93/X93*100,0)</x:f>
        <x:v>0.3144654088050315</x:v>
      </x:c>
      <x:c r="AS93" s="24" t="n">
        <x:f>IFERROR(Z93/X93*100,0)</x:f>
        <x:v>0.10482180293501049</x:v>
      </x:c>
      <x:c r="AT93" s="26" t="n">
        <x:v>8.9</x:v>
      </x:c>
      <x:c r="AU93" s="26" t="n">
        <x:v>33.3</x:v>
      </x:c>
      <x:c r="AV93" s="26" t="n">
        <x:v>37.4</x:v>
      </x:c>
      <x:c r="AW93" s="26" t="n">
        <x:v>-28.3</x:v>
      </x:c>
      <x:c r="AX93" s="26" t="n">
        <x:v>-0.4</x:v>
      </x:c>
      <x:c r="AY93" s="26" t="n">
        <x:v>19.9</x:v>
      </x:c>
      <x:c r="AZ93" s="26" t="n">
        <x:v>-13.5</x:v>
      </x:c>
      <x:c r="BA93" s="26" t="n">
        <x:v>166</x:v>
      </x:c>
      <x:c r="BB93" s="22" t="n">
        <x:f>IFERROR(AE93/Z93,0)</x:f>
        <x:v>29563</x:v>
      </x:c>
      <x:c r="BC93" s="17" t="n">
        <x:f>IF(OR(V93="out_of_stock",V93="critical_low_stock"),MAX(0,(14-U93)*T93),0)</x:f>
        <x:v>0</x:v>
      </x:c>
      <x:c r="BD93" s="22" t="n">
        <x:f>IFERROR(BC93*M93,0)</x:f>
        <x:v>0</x:v>
      </x:c>
      <x:c r="BE93" s="17" t="str">
        <x:v>stock_sales_behavior</x:v>
      </x:c>
      <x:c r="BF93" s="17" t="str">
        <x:v>copied_from_uploaded_product2 + synthetic_stock</x:v>
      </x:c>
    </x:row>
    <x:row r="94">
      <x:c r="A94" s="17" t="n">
        <x:v>93</x:v>
      </x:c>
      <x:c r="B94" s="17" t="str">
        <x:v>PRODUCT_STOCK_BEHAVIOR</x:v>
      </x:c>
      <x:c r="C94" s="20" t="n">
        <x:v>46152</x:v>
      </x:c>
      <x:c r="D94" s="17" t="str">
        <x:v>Web</x:v>
      </x:c>
      <x:c r="E94" s="17" t="str">
        <x:v>Desktop</x:v>
      </x:c>
      <x:c r="F94" s="17" t="str">
        <x:v>Affiliate</x:v>
      </x:c>
      <x:c r="G94" s="17" t="n">
        <x:v>24</x:v>
      </x:c>
      <x:c r="H94" s="17" t="str">
        <x:v>APPLE</x:v>
      </x:c>
      <x:c r="I94" s="17" t="str">
        <x:v>Bilgisayar</x:v>
      </x:c>
      <x:c r="J94" s="17" t="str">
        <x:v>Tabletler</x:v>
      </x:c>
      <x:c r="K94" s="17" t="str">
        <x:v>APPLE iPad (A16) Wi-Fi 256 GB Tablet Gümüş MD4G4TU/A</x:v>
      </x:c>
      <x:c r="L94" s="17" t="str">
        <x:v>1245609</x:v>
      </x:c>
      <x:c r="M94" s="22" t="n">
        <x:v>26347</x:v>
      </x:c>
      <x:c r="N94" s="26" t="n">
        <x:v>-5.9</x:v>
      </x:c>
      <x:c r="O94" s="22" t="n">
        <x:v>36</x:v>
      </x:c>
      <x:c r="P94" s="22" t="n">
        <x:v>26</x:v>
      </x:c>
      <x:c r="Q94" s="22" t="n">
        <x:v>0</x:v>
      </x:c>
      <x:c r="R94" s="17" t="n">
        <x:v>14</x:v>
      </x:c>
      <x:c r="S94" s="22" t="n">
        <x:v>24</x:v>
      </x:c>
      <x:c r="T94" s="24" t="n">
        <x:v>1.4</x:v>
      </x:c>
      <x:c r="U94" s="24" t="n">
        <x:f>IFERROR(O94/T94,0)</x:f>
        <x:v>25.714285714285715</x:v>
      </x:c>
      <x:c r="V94" s="17" t="str">
        <x:f>IF(O94&lt;=0,"out_of_stock",IF(U94&lt;7,"critical_low_stock",IF(U94&gt;60,"overstock","in_stock")))</x:f>
        <x:v>in_stock</x:v>
      </x:c>
      <x:c r="W94" s="17" t="str">
        <x:f>IF(O94&lt;=0,"OOS",IF(AND(U94&lt;7,AC94&gt;=0.5),"High Risk",IF(U94&lt;14,"Medium Risk",IF(U94&gt;60,"Overstock","Healthy"))))</x:f>
        <x:v>Healthy</x:v>
      </x:c>
      <x:c r="X94" s="22" t="n">
        <x:v>949</x:v>
      </x:c>
      <x:c r="Y94" s="22" t="n">
        <x:v>91</x:v>
      </x:c>
      <x:c r="Z94" s="22" t="n">
        <x:v>6</x:v>
      </x:c>
      <x:c r="AA94" s="24" t="n">
        <x:f>IFERROR(Y94/X94*100,0)</x:f>
        <x:v>9.58904109589041</x:v>
      </x:c>
      <x:c r="AB94" s="26" t="n">
        <x:v>1.8</x:v>
      </x:c>
      <x:c r="AC94" s="24" t="n">
        <x:f>IFERROR(Z94/X94*100,0)</x:f>
        <x:v>0.6322444678609063</x:v>
      </x:c>
      <x:c r="AD94" s="26" t="n">
        <x:v>-24.9</x:v>
      </x:c>
      <x:c r="AE94" s="22" t="n">
        <x:f>IFERROR(Z94*M94,0)</x:f>
        <x:v>158082</x:v>
      </x:c>
      <x:c r="AF94" s="26" t="n">
        <x:v>-35.1</x:v>
      </x:c>
      <x:c r="AG94" s="24" t="n">
        <x:v>59</x:v>
      </x:c>
      <x:c r="AH94" s="26" t="n">
        <x:v>-12.3</x:v>
      </x:c>
      <x:c r="AI94" s="22" t="n">
        <x:v>78</x:v>
      </x:c>
      <x:c r="AJ94" s="22" t="n">
        <x:v>49</x:v>
      </x:c>
      <x:c r="AK94" s="22" t="n">
        <x:v>39</x:v>
      </x:c>
      <x:c r="AL94" s="22" t="n">
        <x:v>35</x:v>
      </x:c>
      <x:c r="AM94" s="22" t="n">
        <x:v>25</x:v>
      </x:c>
      <x:c r="AN94" s="24" t="n">
        <x:f>IFERROR(AI94/X94*100,0)</x:f>
        <x:v>8.21917808219178</x:v>
      </x:c>
      <x:c r="AO94" s="24" t="n">
        <x:f>IFERROR(AJ94/X94*100,0)</x:f>
        <x:v>5.163329820864067</x:v>
      </x:c>
      <x:c r="AP94" s="24" t="n">
        <x:f>IFERROR(AK94/X94*100,0)</x:f>
        <x:v>4.10958904109589</x:v>
      </x:c>
      <x:c r="AQ94" s="24" t="n">
        <x:f>IFERROR(AL94/X94*100,0)</x:f>
        <x:v>3.68809272918862</x:v>
      </x:c>
      <x:c r="AR94" s="24" t="n">
        <x:f>IFERROR(AM94/X94*100,0)</x:f>
        <x:v>2.634351949420443</x:v>
      </x:c>
      <x:c r="AS94" s="24" t="n">
        <x:f>IFERROR(Z94/X94*100,0)</x:f>
        <x:v>0.6322444678609063</x:v>
      </x:c>
      <x:c r="AT94" s="26" t="n">
        <x:v>9.8</x:v>
      </x:c>
      <x:c r="AU94" s="26" t="n">
        <x:v>6.1</x:v>
      </x:c>
      <x:c r="AV94" s="26" t="n">
        <x:v>2.1</x:v>
      </x:c>
      <x:c r="AW94" s="26" t="n">
        <x:v>9.7</x:v>
      </x:c>
      <x:c r="AX94" s="26" t="n">
        <x:v>14.4</x:v>
      </x:c>
      <x:c r="AY94" s="26" t="n">
        <x:v>9.7</x:v>
      </x:c>
      <x:c r="AZ94" s="26" t="n">
        <x:v>-3.3</x:v>
      </x:c>
      <x:c r="BA94" s="26" t="n">
        <x:v>-20</x:v>
      </x:c>
      <x:c r="BB94" s="22" t="n">
        <x:f>IFERROR(AE94/Z94,0)</x:f>
        <x:v>26347</x:v>
      </x:c>
      <x:c r="BC94" s="17" t="n">
        <x:f>IF(OR(V94="out_of_stock",V94="critical_low_stock"),MAX(0,(14-U94)*T94),0)</x:f>
        <x:v>0</x:v>
      </x:c>
      <x:c r="BD94" s="22" t="n">
        <x:f>IFERROR(BC94*M94,0)</x:f>
        <x:v>0</x:v>
      </x:c>
      <x:c r="BE94" s="17" t="str">
        <x:v>stock_sales_behavior</x:v>
      </x:c>
      <x:c r="BF94" s="17" t="str">
        <x:v>copied_from_uploaded_product2 + synthetic_stock</x:v>
      </x:c>
    </x:row>
    <x:row r="95">
      <x:c r="A95" s="17" t="n">
        <x:v>94</x:v>
      </x:c>
      <x:c r="B95" s="17" t="str">
        <x:v>PRODUCT_STOCK_BEHAVIOR</x:v>
      </x:c>
      <x:c r="C95" s="20" t="n">
        <x:v>46153</x:v>
      </x:c>
      <x:c r="D95" s="17" t="str">
        <x:v>Mobile Web</x:v>
      </x:c>
      <x:c r="E95" s="17" t="str">
        <x:v>Mobile</x:v>
      </x:c>
      <x:c r="F95" s="17" t="str">
        <x:v>Social Paid</x:v>
      </x:c>
      <x:c r="G95" s="17" t="n">
        <x:v>99</x:v>
      </x:c>
      <x:c r="H95" s="17" t="str">
        <x:v>ONVO</x:v>
      </x:c>
      <x:c r="I95" s="17" t="str">
        <x:v>Other</x:v>
      </x:c>
      <x:c r="J95" s="17" t="str">
        <x:v>Other</x:v>
      </x:c>
      <x:c r="K95" s="17" t="str">
        <x:v>ONVO OV-012 X Plus 1600W 50KM Menzil Elektrikli Scooter</x:v>
      </x:c>
      <x:c r="L95" s="17" t="str">
        <x:v>1228484</x:v>
      </x:c>
      <x:c r="M95" s="22" t="n">
        <x:v>24617</x:v>
      </x:c>
      <x:c r="N95" s="26" t="n">
        <x:v>11.7</x:v>
      </x:c>
      <x:c r="O95" s="22" t="n">
        <x:v>28</x:v>
      </x:c>
      <x:c r="P95" s="22" t="n">
        <x:v>45</x:v>
      </x:c>
      <x:c r="Q95" s="22" t="n">
        <x:v>0</x:v>
      </x:c>
      <x:c r="R95" s="17" t="n">
        <x:v>7</x:v>
      </x:c>
      <x:c r="S95" s="22" t="n">
        <x:v>8</x:v>
      </x:c>
      <x:c r="T95" s="24" t="n">
        <x:v>0.8</x:v>
      </x:c>
      <x:c r="U95" s="24" t="n">
        <x:f>IFERROR(O95/T95,0)</x:f>
        <x:v>35</x:v>
      </x:c>
      <x:c r="V95" s="17" t="str">
        <x:f>IF(O95&lt;=0,"out_of_stock",IF(U95&lt;7,"critical_low_stock",IF(U95&gt;60,"overstock","in_stock")))</x:f>
        <x:v>in_stock</x:v>
      </x:c>
      <x:c r="W95" s="17" t="str">
        <x:f>IF(O95&lt;=0,"OOS",IF(AND(U95&lt;7,AC95&gt;=0.5),"High Risk",IF(U95&lt;14,"Medium Risk",IF(U95&gt;60,"Overstock","Healthy"))))</x:f>
        <x:v>Healthy</x:v>
      </x:c>
      <x:c r="X95" s="22" t="n">
        <x:v>942</x:v>
      </x:c>
      <x:c r="Y95" s="22" t="n">
        <x:v>11</x:v>
      </x:c>
      <x:c r="Z95" s="22" t="n">
        <x:v>0</x:v>
      </x:c>
      <x:c r="AA95" s="24" t="n">
        <x:f>IFERROR(Y95/X95*100,0)</x:f>
        <x:v>1.167728237791932</x:v>
      </x:c>
      <x:c r="AB95" s="26" t="n">
        <x:v>-56.2</x:v>
      </x:c>
      <x:c r="AC95" s="24" t="n">
        <x:f>IFERROR(Z95/X95*100,0)</x:f>
        <x:v>0</x:v>
      </x:c>
      <x:c r="AD95" s="26" t="n">
        <x:v>166</x:v>
      </x:c>
      <x:c r="AE95" s="22" t="n">
        <x:f>IFERROR(Z95*M95,0)</x:f>
        <x:v>0</x:v>
      </x:c>
      <x:c r="AF95" s="26" t="n">
        <x:v>174.5</x:v>
      </x:c>
      <x:c r="AG95" s="24" t="n">
        <x:v>64</x:v>
      </x:c>
      <x:c r="AH95" s="26" t="n">
        <x:v>-0.2</x:v>
      </x:c>
      <x:c r="AI95" s="22" t="n">
        <x:v>9</x:v>
      </x:c>
      <x:c r="AJ95" s="22" t="n">
        <x:v>4</x:v>
      </x:c>
      <x:c r="AK95" s="22" t="n">
        <x:v>3</x:v>
      </x:c>
      <x:c r="AL95" s="22" t="n">
        <x:v>3</x:v>
      </x:c>
      <x:c r="AM95" s="22" t="n">
        <x:v>3</x:v>
      </x:c>
      <x:c r="AN95" s="24" t="n">
        <x:f>IFERROR(AI95/X95*100,0)</x:f>
        <x:v>0.9554140127388535</x:v>
      </x:c>
      <x:c r="AO95" s="24" t="n">
        <x:f>IFERROR(AJ95/X95*100,0)</x:f>
        <x:v>0.42462845010615713</x:v>
      </x:c>
      <x:c r="AP95" s="24" t="n">
        <x:f>IFERROR(AK95/X95*100,0)</x:f>
        <x:v>0.3184713375796179</x:v>
      </x:c>
      <x:c r="AQ95" s="24" t="n">
        <x:f>IFERROR(AL95/X95*100,0)</x:f>
        <x:v>0.3184713375796179</x:v>
      </x:c>
      <x:c r="AR95" s="24" t="n">
        <x:f>IFERROR(AM95/X95*100,0)</x:f>
        <x:v>0.3184713375796179</x:v>
      </x:c>
      <x:c r="AS95" s="24" t="n">
        <x:f>IFERROR(Z95/X95*100,0)</x:f>
        <x:v>0</x:v>
      </x:c>
      <x:c r="AT95" s="26" t="n">
        <x:v>-4.2</x:v>
      </x:c>
      <x:c r="AU95" s="26" t="n">
        <x:v>-60.9</x:v>
      </x:c>
      <x:c r="AV95" s="26" t="n">
        <x:v>-70.1</x:v>
      </x:c>
      <x:c r="AW95" s="26" t="n">
        <x:v>11</x:v>
      </x:c>
      <x:c r="AX95" s="26" t="n">
        <x:v>-17.2</x:v>
      </x:c>
      <x:c r="AY95" s="26" t="n">
        <x:v>16.6</x:v>
      </x:c>
      <x:c r="AZ95" s="26" t="n">
        <x:v>-5.5</x:v>
      </x:c>
      <x:c r="BA95" s="26" t="n">
        <x:v>166</x:v>
      </x:c>
      <x:c r="BB95" s="22" t="n">
        <x:f>IFERROR(AE95/Z95,0)</x:f>
        <x:v>0</x:v>
      </x:c>
      <x:c r="BC95" s="17" t="n">
        <x:f>IF(OR(V95="out_of_stock",V95="critical_low_stock"),MAX(0,(14-U95)*T95),0)</x:f>
        <x:v>0</x:v>
      </x:c>
      <x:c r="BD95" s="22" t="n">
        <x:f>IFERROR(BC95*M95,0)</x:f>
        <x:v>0</x:v>
      </x:c>
      <x:c r="BE95" s="17" t="str">
        <x:v>stock_sales_behavior</x:v>
      </x:c>
      <x:c r="BF95" s="17" t="str">
        <x:v>copied_from_uploaded_product2 + synthetic_stock</x:v>
      </x:c>
    </x:row>
    <x:row r="96">
      <x:c r="A96" s="17" t="n">
        <x:v>95</x:v>
      </x:c>
      <x:c r="B96" s="17" t="str">
        <x:v>PRODUCT_STOCK_BEHAVIOR</x:v>
      </x:c>
      <x:c r="C96" s="20" t="n">
        <x:v>46154</x:v>
      </x:c>
      <x:c r="D96" s="17" t="str">
        <x:v>Web</x:v>
      </x:c>
      <x:c r="E96" s="17" t="str">
        <x:v>App</x:v>
      </x:c>
      <x:c r="F96" s="17" t="str">
        <x:v>Search Organic Generic</x:v>
      </x:c>
      <x:c r="G96" s="17" t="n">
        <x:v>28</x:v>
      </x:c>
      <x:c r="H96" s="17" t="str">
        <x:v>APPLE</x:v>
      </x:c>
      <x:c r="I96" s="17" t="str">
        <x:v>Telefon</x:v>
      </x:c>
      <x:c r="J96" s="17" t="str">
        <x:v>Cep Telefonları</x:v>
      </x:c>
      <x:c r="K96" s="17" t="str">
        <x:v>APPLE iPhone 16 Pro Max 256 GB Akıllı Telefon Desert Titanium MYWX3TU/A</x:v>
      </x:c>
      <x:c r="L96" s="17" t="str">
        <x:v>1239591</x:v>
      </x:c>
      <x:c r="M96" s="22" t="n">
        <x:v>94244</x:v>
      </x:c>
      <x:c r="N96" s="26" t="n">
        <x:v>1.6</x:v>
      </x:c>
      <x:c r="O96" s="22" t="n">
        <x:v>13</x:v>
      </x:c>
      <x:c r="P96" s="22" t="n">
        <x:v>14</x:v>
      </x:c>
      <x:c r="Q96" s="22" t="n">
        <x:v>0</x:v>
      </x:c>
      <x:c r="R96" s="17" t="n">
        <x:v>14</x:v>
      </x:c>
      <x:c r="S96" s="22" t="n">
        <x:v>11</x:v>
      </x:c>
      <x:c r="T96" s="24" t="n">
        <x:v>0.6</x:v>
      </x:c>
      <x:c r="U96" s="24" t="n">
        <x:f>IFERROR(O96/T96,0)</x:f>
        <x:v>21.666666666666668</x:v>
      </x:c>
      <x:c r="V96" s="17" t="str">
        <x:f>IF(O96&lt;=0,"out_of_stock",IF(U96&lt;7,"critical_low_stock",IF(U96&gt;60,"overstock","in_stock")))</x:f>
        <x:v>in_stock</x:v>
      </x:c>
      <x:c r="W96" s="17" t="str">
        <x:f>IF(O96&lt;=0,"OOS",IF(AND(U96&lt;7,AC96&gt;=0.5),"High Risk",IF(U96&lt;14,"Medium Risk",IF(U96&gt;60,"Overstock","Healthy"))))</x:f>
        <x:v>Healthy</x:v>
      </x:c>
      <x:c r="X96" s="22" t="n">
        <x:v>937</x:v>
      </x:c>
      <x:c r="Y96" s="22" t="n">
        <x:v>0</x:v>
      </x:c>
      <x:c r="Z96" s="22" t="n">
        <x:v>0</x:v>
      </x:c>
      <x:c r="AA96" s="24" t="n">
        <x:f>IFERROR(Y96/X96*100,0)</x:f>
        <x:v>0</x:v>
      </x:c>
      <x:c r="AB96" s="26" t="n">
        <x:v>166</x:v>
      </x:c>
      <x:c r="AC96" s="24" t="n">
        <x:f>IFERROR(Z96/X96*100,0)</x:f>
        <x:v>0</x:v>
      </x:c>
      <x:c r="AD96" s="26" t="n">
        <x:v>166</x:v>
      </x:c>
      <x:c r="AE96" s="22" t="n">
        <x:f>IFERROR(Z96*M96,0)</x:f>
        <x:v>0</x:v>
      </x:c>
      <x:c r="AF96" s="26" t="n">
        <x:v>179.8</x:v>
      </x:c>
      <x:c r="AG96" s="24" t="n">
        <x:v>47</x:v>
      </x:c>
      <x:c r="AH96" s="26" t="n">
        <x:v>-5.4</x:v>
      </x:c>
      <x:c r="AI96" s="22" t="n">
        <x:v>0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4" t="n">
        <x:f>IFERROR(AI96/X96*100,0)</x:f>
        <x:v>0</x:v>
      </x:c>
      <x:c r="AO96" s="24" t="n">
        <x:f>IFERROR(AJ96/X96*100,0)</x:f>
        <x:v>0</x:v>
      </x:c>
      <x:c r="AP96" s="24" t="n">
        <x:f>IFERROR(AK96/X96*100,0)</x:f>
        <x:v>0</x:v>
      </x:c>
      <x:c r="AQ96" s="24" t="n">
        <x:f>IFERROR(AL96/X96*100,0)</x:f>
        <x:v>0</x:v>
      </x:c>
      <x:c r="AR96" s="24" t="n">
        <x:f>IFERROR(AM96/X96*100,0)</x:f>
        <x:v>0</x:v>
      </x:c>
      <x:c r="AS96" s="24" t="n">
        <x:f>IFERROR(Z96/X96*100,0)</x:f>
        <x:v>0</x:v>
      </x:c>
      <x:c r="AT96" s="26" t="n">
        <x:v>29.8</x:v>
      </x:c>
      <x:c r="AU96" s="26" t="n">
        <x:v>166</x:v>
      </x:c>
      <x:c r="AV96" s="26" t="n">
        <x:v>157</x:v>
      </x:c>
      <x:c r="AW96" s="26" t="n">
        <x:v>-37.8</x:v>
      </x:c>
      <x:c r="AX96" s="26" t="n">
        <x:v>5.1</x:v>
      </x:c>
      <x:c r="AY96" s="26" t="n">
        <x:v>-20.5</x:v>
      </x:c>
      <x:c r="AZ96" s="26" t="n">
        <x:v>-0.3</x:v>
      </x:c>
      <x:c r="BA96" s="26" t="n">
        <x:v>166</x:v>
      </x:c>
      <x:c r="BB96" s="22" t="n">
        <x:f>IFERROR(AE96/Z96,0)</x:f>
        <x:v>0</x:v>
      </x:c>
      <x:c r="BC96" s="17" t="n">
        <x:f>IF(OR(V96="out_of_stock",V96="critical_low_stock"),MAX(0,(14-U96)*T96),0)</x:f>
        <x:v>0</x:v>
      </x:c>
      <x:c r="BD96" s="22" t="n">
        <x:f>IFERROR(BC96*M96,0)</x:f>
        <x:v>0</x:v>
      </x:c>
      <x:c r="BE96" s="17" t="str">
        <x:v>stock_sales_behavior</x:v>
      </x:c>
      <x:c r="BF96" s="17" t="str">
        <x:v>copied_from_uploaded_product2 + synthetic_stock</x:v>
      </x:c>
    </x:row>
    <x:row r="97">
      <x:c r="A97" s="17" t="n">
        <x:v>96</x:v>
      </x:c>
      <x:c r="B97" s="17" t="str">
        <x:v>PRODUCT_STOCK_BEHAVIOR</x:v>
      </x:c>
      <x:c r="C97" s="20" t="n">
        <x:v>46155</x:v>
      </x:c>
      <x:c r="D97" s="17" t="str">
        <x:v>Web</x:v>
      </x:c>
      <x:c r="E97" s="17" t="str">
        <x:v>App</x:v>
      </x:c>
      <x:c r="F97" s="17" t="str">
        <x:v>Search Organic Generic</x:v>
      </x:c>
      <x:c r="G97" s="17" t="n">
        <x:v>28</x:v>
      </x:c>
      <x:c r="H97" s="17" t="str">
        <x:v>SAMSUNG</x:v>
      </x:c>
      <x:c r="I97" s="17" t="str">
        <x:v>Telefon</x:v>
      </x:c>
      <x:c r="J97" s="17" t="str">
        <x:v>Cep Telefonları</x:v>
      </x:c>
      <x:c r="K97" s="17" t="str">
        <x:v>SAMSUNG Galaxy A17 5G 8/256GB Akıllı Telefon Siyah</x:v>
      </x:c>
      <x:c r="L97" s="17" t="str">
        <x:v>1248870</x:v>
      </x:c>
      <x:c r="M97" s="22" t="n">
        <x:v>27339</x:v>
      </x:c>
      <x:c r="N97" s="26" t="n">
        <x:v>23.4</x:v>
      </x:c>
      <x:c r="O97" s="22" t="n">
        <x:v>210</x:v>
      </x:c>
      <x:c r="P97" s="22" t="n">
        <x:v>337</x:v>
      </x:c>
      <x:c r="Q97" s="22" t="n">
        <x:v>0</x:v>
      </x:c>
      <x:c r="R97" s="17" t="n">
        <x:v>5</x:v>
      </x:c>
      <x:c r="S97" s="22" t="n">
        <x:v>19</x:v>
      </x:c>
      <x:c r="T97" s="24" t="n">
        <x:v>2.3</x:v>
      </x:c>
      <x:c r="U97" s="24" t="n">
        <x:f>IFERROR(O97/T97,0)</x:f>
        <x:v>91.30434782608697</x:v>
      </x:c>
      <x:c r="V97" s="17" t="str">
        <x:f>IF(O97&lt;=0,"out_of_stock",IF(U97&lt;7,"critical_low_stock",IF(U97&gt;60,"overstock","in_stock")))</x:f>
        <x:v>overstock</x:v>
      </x:c>
      <x:c r="W97" s="17" t="str">
        <x:f>IF(O97&lt;=0,"OOS",IF(AND(U97&lt;7,AC97&gt;=0.5),"High Risk",IF(U97&lt;14,"Medium Risk",IF(U97&gt;60,"Overstock","Healthy"))))</x:f>
        <x:v>Overstock</x:v>
      </x:c>
      <x:c r="X97" s="22" t="n">
        <x:v>936</x:v>
      </x:c>
      <x:c r="Y97" s="22" t="n">
        <x:v>56</x:v>
      </x:c>
      <x:c r="Z97" s="22" t="n">
        <x:v>0</x:v>
      </x:c>
      <x:c r="AA97" s="24" t="n">
        <x:f>IFERROR(Y97/X97*100,0)</x:f>
        <x:v>5.982905982905983</x:v>
      </x:c>
      <x:c r="AB97" s="26" t="n">
        <x:v>25.7</x:v>
      </x:c>
      <x:c r="AC97" s="24" t="n">
        <x:f>IFERROR(Z97/X97*100,0)</x:f>
        <x:v>0</x:v>
      </x:c>
      <x:c r="AD97" s="26" t="n">
        <x:v>166</x:v>
      </x:c>
      <x:c r="AE97" s="22" t="n">
        <x:f>IFERROR(Z97*M97,0)</x:f>
        <x:v>0</x:v>
      </x:c>
      <x:c r="AF97" s="26" t="n">
        <x:v>193.8</x:v>
      </x:c>
      <x:c r="AG97" s="24" t="n">
        <x:v>64</x:v>
      </x:c>
      <x:c r="AH97" s="26" t="n">
        <x:v>4.2</x:v>
      </x:c>
      <x:c r="AI97" s="22" t="n">
        <x:v>50</x:v>
      </x:c>
      <x:c r="AJ97" s="22" t="n">
        <x:v>26</x:v>
      </x:c>
      <x:c r="AK97" s="22" t="n">
        <x:v>15</x:v>
      </x:c>
      <x:c r="AL97" s="22" t="n">
        <x:v>15</x:v>
      </x:c>
      <x:c r="AM97" s="22" t="n">
        <x:v>8</x:v>
      </x:c>
      <x:c r="AN97" s="24" t="n">
        <x:f>IFERROR(AI97/X97*100,0)</x:f>
        <x:v>5.3418803418803416</x:v>
      </x:c>
      <x:c r="AO97" s="24" t="n">
        <x:f>IFERROR(AJ97/X97*100,0)</x:f>
        <x:v>2.7777777777777777</x:v>
      </x:c>
      <x:c r="AP97" s="24" t="n">
        <x:f>IFERROR(AK97/X97*100,0)</x:f>
        <x:v>1.6025641025641024</x:v>
      </x:c>
      <x:c r="AQ97" s="24" t="n">
        <x:f>IFERROR(AL97/X97*100,0)</x:f>
        <x:v>1.6025641025641024</x:v>
      </x:c>
      <x:c r="AR97" s="24" t="n">
        <x:f>IFERROR(AM97/X97*100,0)</x:f>
        <x:v>0.8547008547008548</x:v>
      </x:c>
      <x:c r="AS97" s="24" t="n">
        <x:f>IFERROR(Z97/X97*100,0)</x:f>
        <x:v>0</x:v>
      </x:c>
      <x:c r="AT97" s="26" t="n">
        <x:v>-1.2</x:v>
      </x:c>
      <x:c r="AU97" s="26" t="n">
        <x:v>7.1</x:v>
      </x:c>
      <x:c r="AV97" s="26" t="n">
        <x:v>7.8</x:v>
      </x:c>
      <x:c r="AW97" s="26" t="n">
        <x:v>-9.9</x:v>
      </x:c>
      <x:c r="AX97" s="26" t="n">
        <x:v>12.8</x:v>
      </x:c>
      <x:c r="AY97" s="26" t="n">
        <x:v>16.1</x:v>
      </x:c>
      <x:c r="AZ97" s="26" t="n">
        <x:v>-27.1</x:v>
      </x:c>
      <x:c r="BA97" s="26" t="n">
        <x:v>166</x:v>
      </x:c>
      <x:c r="BB97" s="22" t="n">
        <x:f>IFERROR(AE97/Z97,0)</x:f>
        <x:v>0</x:v>
      </x:c>
      <x:c r="BC97" s="17" t="n">
        <x:f>IF(OR(V97="out_of_stock",V97="critical_low_stock"),MAX(0,(14-U97)*T97),0)</x:f>
        <x:v>0</x:v>
      </x:c>
      <x:c r="BD97" s="22" t="n">
        <x:f>IFERROR(BC97*M97,0)</x:f>
        <x:v>0</x:v>
      </x:c>
      <x:c r="BE97" s="17" t="str">
        <x:v>stock_sales_behavior</x:v>
      </x:c>
      <x:c r="BF97" s="17" t="str">
        <x:v>copied_from_uploaded_product2 + synthetic_stock</x:v>
      </x:c>
    </x:row>
    <x:row r="98">
      <x:c r="A98" s="17" t="n">
        <x:v>97</x:v>
      </x:c>
      <x:c r="B98" s="17" t="str">
        <x:v>PRODUCT_STOCK_BEHAVIOR</x:v>
      </x:c>
      <x:c r="C98" s="20" t="n">
        <x:v>46156</x:v>
      </x:c>
      <x:c r="D98" s="17" t="str">
        <x:v>App</x:v>
      </x:c>
      <x:c r="E98" s="17" t="str">
        <x:v>App</x:v>
      </x:c>
      <x:c r="F98" s="17" t="str">
        <x:v>Search Paid Generic</x:v>
      </x:c>
      <x:c r="G98" s="17" t="n">
        <x:v>28</x:v>
      </x:c>
      <x:c r="H98" s="17" t="str">
        <x:v>APPLE</x:v>
      </x:c>
      <x:c r="I98" s="17" t="str">
        <x:v>Telefon</x:v>
      </x:c>
      <x:c r="J98" s="17" t="str">
        <x:v>Cep Telefonları</x:v>
      </x:c>
      <x:c r="K98" s="17" t="str">
        <x:v>APPLE iPhone 16 Pro Max 256 GB Akıllı Telefon Beyaz Titanium MYWW3TU/A</x:v>
      </x:c>
      <x:c r="L98" s="17" t="str">
        <x:v>1239589</x:v>
      </x:c>
      <x:c r="M98" s="22" t="n">
        <x:v>96454</x:v>
      </x:c>
      <x:c r="N98" s="26" t="n">
        <x:v>17.7</x:v>
      </x:c>
      <x:c r="O98" s="22" t="n">
        <x:v>121</x:v>
      </x:c>
      <x:c r="P98" s="22" t="n">
        <x:v>96</x:v>
      </x:c>
      <x:c r="Q98" s="22" t="n">
        <x:v>0</x:v>
      </x:c>
      <x:c r="R98" s="17" t="n">
        <x:v>3</x:v>
      </x:c>
      <x:c r="S98" s="22" t="n">
        <x:v>14</x:v>
      </x:c>
      <x:c r="T98" s="24" t="n">
        <x:v>2.2</x:v>
      </x:c>
      <x:c r="U98" s="24" t="n">
        <x:f>IFERROR(O98/T98,0)</x:f>
        <x:v>54.99999999999999</x:v>
      </x:c>
      <x:c r="V98" s="17" t="str">
        <x:f>IF(O98&lt;=0,"out_of_stock",IF(U98&lt;7,"critical_low_stock",IF(U98&gt;60,"overstock","in_stock")))</x:f>
        <x:v>in_stock</x:v>
      </x:c>
      <x:c r="W98" s="17" t="str">
        <x:f>IF(O98&lt;=0,"OOS",IF(AND(U98&lt;7,AC98&gt;=0.5),"High Risk",IF(U98&lt;14,"Medium Risk",IF(U98&gt;60,"Overstock","Healthy"))))</x:f>
        <x:v>Healthy</x:v>
      </x:c>
      <x:c r="X98" s="22" t="n">
        <x:v>936</x:v>
      </x:c>
      <x:c r="Y98" s="22" t="n">
        <x:v>0</x:v>
      </x:c>
      <x:c r="Z98" s="22" t="n">
        <x:v>0</x:v>
      </x:c>
      <x:c r="AA98" s="24" t="n">
        <x:f>IFERROR(Y98/X98*100,0)</x:f>
        <x:v>0</x:v>
      </x:c>
      <x:c r="AB98" s="26" t="n">
        <x:v>166</x:v>
      </x:c>
      <x:c r="AC98" s="24" t="n">
        <x:f>IFERROR(Z98/X98*100,0)</x:f>
        <x:v>0</x:v>
      </x:c>
      <x:c r="AD98" s="26" t="n">
        <x:v>166</x:v>
      </x:c>
      <x:c r="AE98" s="22" t="n">
        <x:f>IFERROR(Z98*M98,0)</x:f>
        <x:v>0</x:v>
      </x:c>
      <x:c r="AF98" s="26" t="n">
        <x:v>169</x:v>
      </x:c>
      <x:c r="AG98" s="24" t="n">
        <x:v>53</x:v>
      </x:c>
      <x:c r="AH98" s="26" t="n">
        <x:v>-4.8</x:v>
      </x:c>
      <x:c r="AI98" s="22" t="n">
        <x:v>0</x:v>
      </x:c>
      <x:c r="AJ98" s="22" t="n">
        <x:v>0</x:v>
      </x:c>
      <x:c r="AK98" s="22" t="n">
        <x:v>0</x:v>
      </x:c>
      <x:c r="AL98" s="22" t="n">
        <x:v>0</x:v>
      </x:c>
      <x:c r="AM98" s="22" t="n">
        <x:v>0</x:v>
      </x:c>
      <x:c r="AN98" s="24" t="n">
        <x:f>IFERROR(AI98/X98*100,0)</x:f>
        <x:v>0</x:v>
      </x:c>
      <x:c r="AO98" s="24" t="n">
        <x:f>IFERROR(AJ98/X98*100,0)</x:f>
        <x:v>0</x:v>
      </x:c>
      <x:c r="AP98" s="24" t="n">
        <x:f>IFERROR(AK98/X98*100,0)</x:f>
        <x:v>0</x:v>
      </x:c>
      <x:c r="AQ98" s="24" t="n">
        <x:f>IFERROR(AL98/X98*100,0)</x:f>
        <x:v>0</x:v>
      </x:c>
      <x:c r="AR98" s="24" t="n">
        <x:f>IFERROR(AM98/X98*100,0)</x:f>
        <x:v>0</x:v>
      </x:c>
      <x:c r="AS98" s="24" t="n">
        <x:f>IFERROR(Z98/X98*100,0)</x:f>
        <x:v>0</x:v>
      </x:c>
      <x:c r="AT98" s="26" t="n">
        <x:v>27.3</x:v>
      </x:c>
      <x:c r="AU98" s="26" t="n">
        <x:v>166</x:v>
      </x:c>
      <x:c r="AV98" s="26" t="n">
        <x:v>174.6</x:v>
      </x:c>
      <x:c r="AW98" s="26" t="n">
        <x:v>-44.8</x:v>
      </x:c>
      <x:c r="AX98" s="26" t="n">
        <x:v>-4.1</x:v>
      </x:c>
      <x:c r="AY98" s="26" t="n">
        <x:v>3.9</x:v>
      </x:c>
      <x:c r="AZ98" s="26" t="n">
        <x:v>-11.4</x:v>
      </x:c>
      <x:c r="BA98" s="26" t="n">
        <x:v>166</x:v>
      </x:c>
      <x:c r="BB98" s="22" t="n">
        <x:f>IFERROR(AE98/Z98,0)</x:f>
        <x:v>0</x:v>
      </x:c>
      <x:c r="BC98" s="17" t="n">
        <x:f>IF(OR(V98="out_of_stock",V98="critical_low_stock"),MAX(0,(14-U98)*T98),0)</x:f>
        <x:v>0</x:v>
      </x:c>
      <x:c r="BD98" s="22" t="n">
        <x:f>IFERROR(BC98*M98,0)</x:f>
        <x:v>0</x:v>
      </x:c>
      <x:c r="BE98" s="17" t="str">
        <x:v>stock_sales_behavior</x:v>
      </x:c>
      <x:c r="BF98" s="17" t="str">
        <x:v>copied_from_uploaded_product2 + synthetic_stock</x:v>
      </x:c>
    </x:row>
    <x:row r="99">
      <x:c r="A99" s="17" t="n">
        <x:v>98</x:v>
      </x:c>
      <x:c r="B99" s="17" t="str">
        <x:v>PRODUCT_STOCK_BEHAVIOR</x:v>
      </x:c>
      <x:c r="C99" s="20" t="n">
        <x:v>46143</x:v>
      </x:c>
      <x:c r="D99" s="17" t="str">
        <x:v>Mobile Web</x:v>
      </x:c>
      <x:c r="E99" s="17" t="str">
        <x:v>App</x:v>
      </x:c>
      <x:c r="F99" s="17" t="str">
        <x:v>Search Organic Generic</x:v>
      </x:c>
      <x:c r="G99" s="17" t="n">
        <x:v>28</x:v>
      </x:c>
      <x:c r="H99" s="17" t="str">
        <x:v>APPLE</x:v>
      </x:c>
      <x:c r="I99" s="17" t="str">
        <x:v>Telefon</x:v>
      </x:c>
      <x:c r="J99" s="17" t="str">
        <x:v>Cep Telefonları</x:v>
      </x:c>
      <x:c r="K99" s="17" t="str">
        <x:v>APPLE iPhone 17 Pro Max 512 GB Akıllı Telefon Derin Mavi MFYU4TU/A</x:v>
      </x:c>
      <x:c r="L99" s="17" t="str">
        <x:v>1249257</x:v>
      </x:c>
      <x:c r="M99" s="22" t="n">
        <x:v>96569</x:v>
      </x:c>
      <x:c r="N99" s="26" t="n">
        <x:v>22.2</x:v>
      </x:c>
      <x:c r="O99" s="22" t="n">
        <x:v>56</x:v>
      </x:c>
      <x:c r="P99" s="22" t="n">
        <x:v>79</x:v>
      </x:c>
      <x:c r="Q99" s="22" t="n">
        <x:v>0</x:v>
      </x:c>
      <x:c r="R99" s="17" t="n">
        <x:v>10</x:v>
      </x:c>
      <x:c r="S99" s="22" t="n">
        <x:v>33</x:v>
      </x:c>
      <x:c r="T99" s="24" t="n">
        <x:v>2.5</x:v>
      </x:c>
      <x:c r="U99" s="24" t="n">
        <x:f>IFERROR(O99/T99,0)</x:f>
        <x:v>22.4</x:v>
      </x:c>
      <x:c r="V99" s="17" t="str">
        <x:f>IF(O99&lt;=0,"out_of_stock",IF(U99&lt;7,"critical_low_stock",IF(U99&gt;60,"overstock","in_stock")))</x:f>
        <x:v>in_stock</x:v>
      </x:c>
      <x:c r="W99" s="17" t="str">
        <x:f>IF(O99&lt;=0,"OOS",IF(AND(U99&lt;7,AC99&gt;=0.5),"High Risk",IF(U99&lt;14,"Medium Risk",IF(U99&gt;60,"Overstock","Healthy"))))</x:f>
        <x:v>Healthy</x:v>
      </x:c>
      <x:c r="X99" s="22" t="n">
        <x:v>927</x:v>
      </x:c>
      <x:c r="Y99" s="22" t="n">
        <x:v>47</x:v>
      </x:c>
      <x:c r="Z99" s="22" t="n">
        <x:v>3</x:v>
      </x:c>
      <x:c r="AA99" s="24" t="n">
        <x:f>IFERROR(Y99/X99*100,0)</x:f>
        <x:v>5.070118662351672</x:v>
      </x:c>
      <x:c r="AB99" s="26" t="n">
        <x:v>-4.3</x:v>
      </x:c>
      <x:c r="AC99" s="24" t="n">
        <x:f>IFERROR(Z99/X99*100,0)</x:f>
        <x:v>0.3236245954692557</x:v>
      </x:c>
      <x:c r="AD99" s="26" t="n">
        <x:v>107.3</x:v>
      </x:c>
      <x:c r="AE99" s="22" t="n">
        <x:f>IFERROR(Z99*M99,0)</x:f>
        <x:v>289707</x:v>
      </x:c>
      <x:c r="AF99" s="26" t="n">
        <x:v>117.3</x:v>
      </x:c>
      <x:c r="AG99" s="24" t="n">
        <x:v>58</x:v>
      </x:c>
      <x:c r="AH99" s="26" t="n">
        <x:v>8.8</x:v>
      </x:c>
      <x:c r="AI99" s="22" t="n">
        <x:v>32</x:v>
      </x:c>
      <x:c r="AJ99" s="22" t="n">
        <x:v>20</x:v>
      </x:c>
      <x:c r="AK99" s="22" t="n">
        <x:v>16</x:v>
      </x:c>
      <x:c r="AL99" s="22" t="n">
        <x:v>14</x:v>
      </x:c>
      <x:c r="AM99" s="22" t="n">
        <x:v>6</x:v>
      </x:c>
      <x:c r="AN99" s="24" t="n">
        <x:f>IFERROR(AI99/X99*100,0)</x:f>
        <x:v>3.4519956850053934</x:v>
      </x:c>
      <x:c r="AO99" s="24" t="n">
        <x:f>IFERROR(AJ99/X99*100,0)</x:f>
        <x:v>2.157497303128371</x:v>
      </x:c>
      <x:c r="AP99" s="24" t="n">
        <x:f>IFERROR(AK99/X99*100,0)</x:f>
        <x:v>1.7259978425026967</x:v>
      </x:c>
      <x:c r="AQ99" s="24" t="n">
        <x:f>IFERROR(AL99/X99*100,0)</x:f>
        <x:v>1.5102481121898599</x:v>
      </x:c>
      <x:c r="AR99" s="24" t="n">
        <x:f>IFERROR(AM99/X99*100,0)</x:f>
        <x:v>0.6472491909385114</x:v>
      </x:c>
      <x:c r="AS99" s="24" t="n">
        <x:f>IFERROR(Z99/X99*100,0)</x:f>
        <x:v>0.3236245954692557</x:v>
      </x:c>
      <x:c r="AT99" s="26" t="n">
        <x:v>-2.7</x:v>
      </x:c>
      <x:c r="AU99" s="26" t="n">
        <x:v>0</x:v>
      </x:c>
      <x:c r="AV99" s="26" t="n">
        <x:v>-6.5</x:v>
      </x:c>
      <x:c r="AW99" s="26" t="n">
        <x:v>2.1</x:v>
      </x:c>
      <x:c r="AX99" s="26" t="n">
        <x:v>11.4</x:v>
      </x:c>
      <x:c r="AY99" s="26" t="n">
        <x:v>12.2</x:v>
      </x:c>
      <x:c r="AZ99" s="26" t="n">
        <x:v>-11.8</x:v>
      </x:c>
      <x:c r="BA99" s="26" t="n">
        <x:v>100</x:v>
      </x:c>
      <x:c r="BB99" s="22" t="n">
        <x:f>IFERROR(AE99/Z99,0)</x:f>
        <x:v>96569</x:v>
      </x:c>
      <x:c r="BC99" s="17" t="n">
        <x:f>IF(OR(V99="out_of_stock",V99="critical_low_stock"),MAX(0,(14-U99)*T99),0)</x:f>
        <x:v>0</x:v>
      </x:c>
      <x:c r="BD99" s="22" t="n">
        <x:f>IFERROR(BC99*M99,0)</x:f>
        <x:v>0</x:v>
      </x:c>
      <x:c r="BE99" s="17" t="str">
        <x:v>stock_sales_behavior</x:v>
      </x:c>
      <x:c r="BF99" s="17" t="str">
        <x:v>copied_from_uploaded_product2 + synthetic_stock</x:v>
      </x:c>
    </x:row>
    <x:row r="100">
      <x:c r="A100" s="17" t="n">
        <x:v>99</x:v>
      </x:c>
      <x:c r="B100" s="17" t="str">
        <x:v>PRODUCT_STOCK_BEHAVIOR</x:v>
      </x:c>
      <x:c r="C100" s="20" t="n">
        <x:v>46144</x:v>
      </x:c>
      <x:c r="D100" s="17" t="str">
        <x:v>App</x:v>
      </x:c>
      <x:c r="E100" s="17" t="str">
        <x:v>Mobile</x:v>
      </x:c>
      <x:c r="F100" s="17" t="str">
        <x:v>Social Paid</x:v>
      </x:c>
      <x:c r="G100" s="17" t="n">
        <x:v>34</x:v>
      </x:c>
      <x:c r="H100" s="17" t="str">
        <x:v>DYSON</x:v>
      </x:c>
      <x:c r="I100" s="17" t="str">
        <x:v>Ev Aletleri &amp; Yaşam</x:v>
      </x:c>
      <x:c r="J100" s="17" t="str">
        <x:v>Süpürgeler</x:v>
      </x:c>
      <x:c r="K100" s="17" t="str">
        <x:v>DYSON V15 Detect Absolute Kablosuz Süpürge</x:v>
      </x:c>
      <x:c r="L100" s="17" t="str">
        <x:v>SYN9001</x:v>
      </x:c>
      <x:c r="M100" s="22" t="n">
        <x:v>15684</x:v>
      </x:c>
      <x:c r="N100" s="26" t="n">
        <x:v>-2</x:v>
      </x:c>
      <x:c r="O100" s="22" t="n">
        <x:v>72</x:v>
      </x:c>
      <x:c r="P100" s="22" t="n">
        <x:v>115</x:v>
      </x:c>
      <x:c r="Q100" s="22" t="n">
        <x:v>0</x:v>
      </x:c>
      <x:c r="R100" s="17" t="n">
        <x:v>5</x:v>
      </x:c>
      <x:c r="S100" s="22" t="n">
        <x:v>19</x:v>
      </x:c>
      <x:c r="T100" s="24" t="n">
        <x:v>2.3</x:v>
      </x:c>
      <x:c r="U100" s="24" t="n">
        <x:f>IFERROR(O100/T100,0)</x:f>
        <x:v>31.30434782608696</x:v>
      </x:c>
      <x:c r="V100" s="17" t="str">
        <x:f>IF(O100&lt;=0,"out_of_stock",IF(U100&lt;7,"critical_low_stock",IF(U100&gt;60,"overstock","in_stock")))</x:f>
        <x:v>in_stock</x:v>
      </x:c>
      <x:c r="W100" s="17" t="str">
        <x:f>IF(O100&lt;=0,"OOS",IF(AND(U100&lt;7,AC100&gt;=0.5),"High Risk",IF(U100&lt;14,"Medium Risk",IF(U100&gt;60,"Overstock","Healthy"))))</x:f>
        <x:v>Healthy</x:v>
      </x:c>
      <x:c r="X100" s="22" t="n">
        <x:v>2480</x:v>
      </x:c>
      <x:c r="Y100" s="22" t="n">
        <x:v>201</x:v>
      </x:c>
      <x:c r="Z100" s="22" t="n">
        <x:v>14</x:v>
      </x:c>
      <x:c r="AA100" s="24" t="n">
        <x:f>IFERROR(Y100/X100*100,0)</x:f>
        <x:v>8.10483870967742</x:v>
      </x:c>
      <x:c r="AB100" s="26" t="n">
        <x:v>-10.4</x:v>
      </x:c>
      <x:c r="AC100" s="24" t="n">
        <x:f>IFERROR(Z100/X100*100,0)</x:f>
        <x:v>0.564516129032258</x:v>
      </x:c>
      <x:c r="AD100" s="26" t="n">
        <x:v>-30</x:v>
      </x:c>
      <x:c r="AE100" s="22" t="n">
        <x:f>IFERROR(Z100*M100,0)</x:f>
        <x:v>219576</x:v>
      </x:c>
      <x:c r="AF100" s="26" t="n">
        <x:v>-21.7</x:v>
      </x:c>
      <x:c r="AG100" s="24" t="n">
        <x:v>51</x:v>
      </x:c>
      <x:c r="AH100" s="26" t="n">
        <x:v>3.2</x:v>
      </x:c>
      <x:c r="AI100" s="22" t="n">
        <x:v>111</x:v>
      </x:c>
      <x:c r="AJ100" s="22" t="n">
        <x:v>52</x:v>
      </x:c>
      <x:c r="AK100" s="22" t="n">
        <x:v>36</x:v>
      </x:c>
      <x:c r="AL100" s="22" t="n">
        <x:v>27</x:v>
      </x:c>
      <x:c r="AM100" s="22" t="n">
        <x:v>15</x:v>
      </x:c>
      <x:c r="AN100" s="24" t="n">
        <x:f>IFERROR(AI100/X100*100,0)</x:f>
        <x:v>4.475806451612904</x:v>
      </x:c>
      <x:c r="AO100" s="24" t="n">
        <x:f>IFERROR(AJ100/X100*100,0)</x:f>
        <x:v>2.0967741935483875</x:v>
      </x:c>
      <x:c r="AP100" s="24" t="n">
        <x:f>IFERROR(AK100/X100*100,0)</x:f>
        <x:v>1.4516129032258065</x:v>
      </x:c>
      <x:c r="AQ100" s="24" t="n">
        <x:f>IFERROR(AL100/X100*100,0)</x:f>
        <x:v>1.0887096774193548</x:v>
      </x:c>
      <x:c r="AR100" s="24" t="n">
        <x:f>IFERROR(AM100/X100*100,0)</x:f>
        <x:v>0.6048387096774194</x:v>
      </x:c>
      <x:c r="AS100" s="24" t="n">
        <x:f>IFERROR(Z100/X100*100,0)</x:f>
        <x:v>0.564516129032258</x:v>
      </x:c>
      <x:c r="AT100" s="26" t="n">
        <x:v>11.4</x:v>
      </x:c>
      <x:c r="AU100" s="26" t="n">
        <x:v>-6.3</x:v>
      </x:c>
      <x:c r="AV100" s="26" t="n">
        <x:v>-3.2</x:v>
      </x:c>
      <x:c r="AW100" s="26" t="n">
        <x:v>-12.7</x:v>
      </x:c>
      <x:c r="AX100" s="26" t="n">
        <x:v>-17.8</x:v>
      </x:c>
      <x:c r="AY100" s="26" t="n">
        <x:v>-19.7</x:v>
      </x:c>
      <x:c r="AZ100" s="26" t="n">
        <x:v>-21.2</x:v>
      </x:c>
      <x:c r="BA100" s="26" t="n">
        <x:v>-22.2</x:v>
      </x:c>
      <x:c r="BB100" s="22" t="n">
        <x:f>IFERROR(AE100/Z100,0)</x:f>
        <x:v>15684</x:v>
      </x:c>
      <x:c r="BC100" s="17" t="n">
        <x:f>IF(OR(V100="out_of_stock",V100="critical_low_stock"),MAX(0,(14-U100)*T100),0)</x:f>
        <x:v>0</x:v>
      </x:c>
      <x:c r="BD100" s="22" t="n">
        <x:f>IFERROR(BC100*M100,0)</x:f>
        <x:v>0</x:v>
      </x:c>
      <x:c r="BE100" s="17" t="str">
        <x:v>stock_sales_behavior</x:v>
      </x:c>
      <x:c r="BF100" s="17" t="str">
        <x:v>copied_from_uploaded_product2 + synthetic_stock</x:v>
      </x:c>
    </x:row>
    <x:row r="101">
      <x:c r="A101" s="17" t="n">
        <x:v>100</x:v>
      </x:c>
      <x:c r="B101" s="17" t="str">
        <x:v>PRODUCT_STOCK_BEHAVIOR</x:v>
      </x:c>
      <x:c r="C101" s="20" t="n">
        <x:v>46145</x:v>
      </x:c>
      <x:c r="D101" s="17" t="str">
        <x:v>App</x:v>
      </x:c>
      <x:c r="E101" s="17" t="str">
        <x:v>Desktop</x:v>
      </x:c>
      <x:c r="F101" s="17" t="str">
        <x:v>Price Comparison</x:v>
      </x:c>
      <x:c r="G101" s="17" t="n">
        <x:v>26</x:v>
      </x:c>
      <x:c r="H101" s="17" t="str">
        <x:v>LOGITECH</x:v>
      </x:c>
      <x:c r="I101" s="17" t="str">
        <x:v>Bilgisayar</x:v>
      </x:c>
      <x:c r="J101" s="17" t="str">
        <x:v>Oyuncu Aksesuarları</x:v>
      </x:c>
      <x:c r="K101" s="17" t="str">
        <x:v>LOGITECH G Pro X Superlight 2 Oyuncu Mouse Siyah</x:v>
      </x:c>
      <x:c r="L101" s="17" t="str">
        <x:v>SYN9002</x:v>
      </x:c>
      <x:c r="M101" s="22" t="n">
        <x:v>4821</x:v>
      </x:c>
      <x:c r="N101" s="26" t="n">
        <x:v>10.9</x:v>
      </x:c>
      <x:c r="O101" s="22" t="n">
        <x:v>0</x:v>
      </x:c>
      <x:c r="P101" s="22" t="n">
        <x:v>0</x:v>
      </x:c>
      <x:c r="Q101" s="22" t="n">
        <x:v>326</x:v>
      </x:c>
      <x:c r="R101" s="17" t="n">
        <x:v>21</x:v>
      </x:c>
      <x:c r="S101" s="22" t="n">
        <x:v>173</x:v>
      </x:c>
      <x:c r="T101" s="24" t="n">
        <x:v>7.2</x:v>
      </x:c>
      <x:c r="U101" s="24" t="n">
        <x:f>IFERROR(O101/T101,0)</x:f>
        <x:v>0</x:v>
      </x:c>
      <x:c r="V101" s="17" t="str">
        <x:f>IF(O101&lt;=0,"out_of_stock",IF(U101&lt;7,"critical_low_stock",IF(U101&gt;60,"overstock","in_stock")))</x:f>
        <x:v>out_of_stock</x:v>
      </x:c>
      <x:c r="W101" s="17" t="str">
        <x:f>IF(O101&lt;=0,"OOS",IF(AND(U101&lt;7,AC101&gt;=0.5),"High Risk",IF(U101&lt;14,"Medium Risk",IF(U101&gt;60,"Overstock","Healthy"))))</x:f>
        <x:v>OOS</x:v>
      </x:c>
      <x:c r="X101" s="22" t="n">
        <x:v>1920</x:v>
      </x:c>
      <x:c r="Y101" s="22" t="n">
        <x:v>242</x:v>
      </x:c>
      <x:c r="Z101" s="22" t="n">
        <x:v>35</x:v>
      </x:c>
      <x:c r="AA101" s="24" t="n">
        <x:f>IFERROR(Y101/X101*100,0)</x:f>
        <x:v>12.604166666666666</x:v>
      </x:c>
      <x:c r="AB101" s="26" t="n">
        <x:v>6.2</x:v>
      </x:c>
      <x:c r="AC101" s="24" t="n">
        <x:f>IFERROR(Z101/X101*100,0)</x:f>
        <x:v>1.8229166666666667</x:v>
      </x:c>
      <x:c r="AD101" s="26" t="n">
        <x:v>15.1</x:v>
      </x:c>
      <x:c r="AE101" s="22" t="n">
        <x:f>IFERROR(Z101*M101,0)</x:f>
        <x:v>168735</x:v>
      </x:c>
      <x:c r="AF101" s="26" t="n">
        <x:v>49.5</x:v>
      </x:c>
      <x:c r="AG101" s="24" t="n">
        <x:v>37</x:v>
      </x:c>
      <x:c r="AH101" s="26" t="n">
        <x:v>-4</x:v>
      </x:c>
      <x:c r="AI101" s="22" t="n">
        <x:v>224</x:v>
      </x:c>
      <x:c r="AJ101" s="22" t="n">
        <x:v>104</x:v>
      </x:c>
      <x:c r="AK101" s="22" t="n">
        <x:v>62</x:v>
      </x:c>
      <x:c r="AL101" s="22" t="n">
        <x:v>61</x:v>
      </x:c>
      <x:c r="AM101" s="22" t="n">
        <x:v>39</x:v>
      </x:c>
      <x:c r="AN101" s="24" t="n">
        <x:f>IFERROR(AI101/X101*100,0)</x:f>
        <x:v>11.666666666666666</x:v>
      </x:c>
      <x:c r="AO101" s="24" t="n">
        <x:f>IFERROR(AJ101/X101*100,0)</x:f>
        <x:v>5.416666666666667</x:v>
      </x:c>
      <x:c r="AP101" s="24" t="n">
        <x:f>IFERROR(AK101/X101*100,0)</x:f>
        <x:v>3.229166666666667</x:v>
      </x:c>
      <x:c r="AQ101" s="24" t="n">
        <x:f>IFERROR(AL101/X101*100,0)</x:f>
        <x:v>3.177083333333333</x:v>
      </x:c>
      <x:c r="AR101" s="24" t="n">
        <x:f>IFERROR(AM101/X101*100,0)</x:f>
        <x:v>2.03125</x:v>
      </x:c>
      <x:c r="AS101" s="24" t="n">
        <x:f>IFERROR(Z101/X101*100,0)</x:f>
        <x:v>1.8229166666666667</x:v>
      </x:c>
      <x:c r="AT101" s="26" t="n">
        <x:v>21.6</x:v>
      </x:c>
      <x:c r="AU101" s="26" t="n">
        <x:v>18.9</x:v>
      </x:c>
      <x:c r="AV101" s="26" t="n">
        <x:v>22.9</x:v>
      </x:c>
      <x:c r="AW101" s="26" t="n">
        <x:v>7.2</x:v>
      </x:c>
      <x:c r="AX101" s="26" t="n">
        <x:v>6.5</x:v>
      </x:c>
      <x:c r="AY101" s="26" t="n">
        <x:v>11.1</x:v>
      </x:c>
      <x:c r="AZ101" s="26" t="n">
        <x:v>2.2</x:v>
      </x:c>
      <x:c r="BA101" s="26" t="n">
        <x:v>40</x:v>
      </x:c>
      <x:c r="BB101" s="22" t="n">
        <x:f>IFERROR(AE101/Z101,0)</x:f>
        <x:v>4821</x:v>
      </x:c>
      <x:c r="BC101" s="17" t="n">
        <x:f>IF(OR(V101="out_of_stock",V101="critical_low_stock"),MAX(0,(14-U101)*T101),0)</x:f>
        <x:v>100.8</x:v>
      </x:c>
      <x:c r="BD101" s="22" t="n">
        <x:f>IFERROR(BC101*M101,0)</x:f>
        <x:v>485956.8</x:v>
      </x:c>
      <x:c r="BE101" s="17" t="str">
        <x:v>stock_sales_behavior</x:v>
      </x:c>
      <x:c r="BF101" s="17" t="str">
        <x:v>copied_from_uploaded_product2 + synthetic_stock</x:v>
      </x:c>
    </x:row>
    <x:row r="102">
      <x:c r="A102" s="17" t="n">
        <x:v>101</x:v>
      </x:c>
      <x:c r="B102" s="17" t="str">
        <x:v>MOBILE_EVENT_FUNNEL</x:v>
      </x:c>
      <x:c r="C102" s="20" t="n">
        <x:v>46144</x:v>
      </x:c>
      <x:c r="D102" s="17" t="str">
        <x:v>Mobile Web</x:v>
      </x:c>
      <x:c r="E102" s="17" t="str">
        <x:v>Mobile</x:v>
      </x:c>
      <x:c r="F102" s="17" t="str">
        <x:v>Search Paid Brand</x:v>
      </x:c>
      <x:c r="G102" s="17" t="n">
        <x:v>28</x:v>
      </x:c>
      <x:c r="H102" s="17" t="str">
        <x:v>APPLE</x:v>
      </x:c>
      <x:c r="I102" s="17" t="str">
        <x:v>Telefon</x:v>
      </x:c>
      <x:c r="J102" s="17" t="str">
        <x:v>Cep Telefonları</x:v>
      </x:c>
      <x:c r="K102" s="17" t="str">
        <x:v>APPLE iPhone 17 Pro Max 512 GB Akıllı Telefon Derin Mavi MFYU4TU/A</x:v>
      </x:c>
      <x:c r="L102" s="17" t="str">
        <x:v>1249257</x:v>
      </x:c>
      <x:c r="M102" s="22" t="n">
        <x:v>96569</x:v>
      </x:c>
      <x:c r="N102" s="26" t="n">
        <x:v>19.6</x:v>
      </x:c>
      <x:c r="O102" s="22" t="n">
        <x:v>51</x:v>
      </x:c>
      <x:c r="P102" s="22" t="n">
        <x:v>47</x:v>
      </x:c>
      <x:c r="Q102" s="22" t="n">
        <x:v>0</x:v>
      </x:c>
      <x:c r="R102" s="17" t="n">
        <x:v>5</x:v>
      </x:c>
      <x:c r="S102" s="22" t="n">
        <x:v>8</x:v>
      </x:c>
      <x:c r="T102" s="24" t="n">
        <x:v>1</x:v>
      </x:c>
      <x:c r="U102" s="24" t="n">
        <x:f>IFERROR(O102/T102,0)</x:f>
        <x:v>51</x:v>
      </x:c>
      <x:c r="V102" s="17" t="str">
        <x:f>IF(O102&lt;=0,"out_of_stock",IF(U102&lt;7,"critical_low_stock",IF(U102&gt;60,"overstock","in_stock")))</x:f>
        <x:v>in_stock</x:v>
      </x:c>
      <x:c r="W102" s="17" t="str">
        <x:f>IF(O102&lt;=0,"OOS",IF(AND(U102&lt;7,AC102&gt;=0.5),"High Risk",IF(U102&lt;14,"Medium Risk",IF(U102&gt;60,"Overstock","Healthy"))))</x:f>
        <x:v>Healthy</x:v>
      </x:c>
      <x:c r="X102" s="22" t="n">
        <x:v>204</x:v>
      </x:c>
      <x:c r="Y102" s="22" t="n">
        <x:v>21</x:v>
      </x:c>
      <x:c r="Z102" s="22" t="n">
        <x:v>1</x:v>
      </x:c>
      <x:c r="AA102" s="24" t="n">
        <x:f>IFERROR(Y102/X102*100,0)</x:f>
        <x:v>10.294117647058822</x:v>
      </x:c>
      <x:c r="AB102" s="26" t="n">
        <x:v>-26.5</x:v>
      </x:c>
      <x:c r="AC102" s="24" t="n">
        <x:f>IFERROR(Z102/X102*100,0)</x:f>
        <x:v>0.49019607843137253</x:v>
      </x:c>
      <x:c r="AD102" s="26" t="n">
        <x:v>-24.5</x:v>
      </x:c>
      <x:c r="AE102" s="22" t="n">
        <x:f>IFERROR(Z102*M102,0)</x:f>
        <x:v>96569</x:v>
      </x:c>
      <x:c r="AF102" s="26" t="n">
        <x:v>-6.6</x:v>
      </x:c>
      <x:c r="AG102" s="24" t="n">
        <x:v>40.8</x:v>
      </x:c>
      <x:c r="AH102" s="26" t="n">
        <x:v>14.2</x:v>
      </x:c>
      <x:c r="AI102" s="22" t="n">
        <x:v>17</x:v>
      </x:c>
      <x:c r="AJ102" s="22" t="n">
        <x:v>6</x:v>
      </x:c>
      <x:c r="AK102" s="22" t="n">
        <x:v>4</x:v>
      </x:c>
      <x:c r="AL102" s="22" t="n">
        <x:v>4</x:v>
      </x:c>
      <x:c r="AM102" s="22" t="n">
        <x:v>2</x:v>
      </x:c>
      <x:c r="AN102" s="24" t="n">
        <x:f>IFERROR(AI102/X102*100,0)</x:f>
        <x:v>8.333333333333332</x:v>
      </x:c>
      <x:c r="AO102" s="24" t="n">
        <x:f>IFERROR(AJ102/X102*100,0)</x:f>
        <x:v>2.941176470588235</x:v>
      </x:c>
      <x:c r="AP102" s="24" t="n">
        <x:f>IFERROR(AK102/X102*100,0)</x:f>
        <x:v>1.9607843137254901</x:v>
      </x:c>
      <x:c r="AQ102" s="24" t="n">
        <x:f>IFERROR(AL102/X102*100,0)</x:f>
        <x:v>1.9607843137254901</x:v>
      </x:c>
      <x:c r="AR102" s="24" t="n">
        <x:f>IFERROR(AM102/X102*100,0)</x:f>
        <x:v>0.9803921568627451</x:v>
      </x:c>
      <x:c r="AS102" s="24" t="n">
        <x:f>IFERROR(Z102/X102*100,0)</x:f>
        <x:v>0.49019607843137253</x:v>
      </x:c>
      <x:c r="AT102" s="26" t="n">
        <x:v>-15.6</x:v>
      </x:c>
      <x:c r="AU102" s="26" t="n">
        <x:v>-26.5</x:v>
      </x:c>
      <x:c r="AV102" s="26" t="n">
        <x:v>-31</x:v>
      </x:c>
      <x:c r="AW102" s="26" t="n">
        <x:v>-69</x:v>
      </x:c>
      <x:c r="AX102" s="26" t="n">
        <x:v>15.7</x:v>
      </x:c>
      <x:c r="AY102" s="26" t="n">
        <x:v>-23.6</x:v>
      </x:c>
      <x:c r="AZ102" s="26" t="n">
        <x:v>-9</x:v>
      </x:c>
      <x:c r="BA102" s="26" t="n">
        <x:v>-24.5</x:v>
      </x:c>
      <x:c r="BB102" s="22" t="n">
        <x:f>IFERROR(AE102/Z102,0)</x:f>
        <x:v>96569</x:v>
      </x:c>
      <x:c r="BC102" s="17" t="n">
        <x:f>IF(OR(V102="out_of_stock",V102="critical_low_stock"),MAX(0,(14-U102)*T102),0)</x:f>
        <x:v>0</x:v>
      </x:c>
      <x:c r="BD102" s="22" t="n">
        <x:f>IFERROR(BC102*M102,0)</x:f>
        <x:v>0</x:v>
      </x:c>
      <x:c r="BE102" s="17" t="str">
        <x:v>mobile_funnel_behavior</x:v>
      </x:c>
      <x:c r="BF102" s="17" t="str">
        <x:v>inspired_by_uploaded_mobile_funnel_screenshot + copied_product_context</x:v>
      </x:c>
    </x:row>
    <x:row r="103">
      <x:c r="A103" s="17" t="n">
        <x:v>102</x:v>
      </x:c>
      <x:c r="B103" s="17" t="str">
        <x:v>MOBILE_EVENT_FUNNEL</x:v>
      </x:c>
      <x:c r="C103" s="20" t="n">
        <x:v>46145</x:v>
      </x:c>
      <x:c r="D103" s="17" t="str">
        <x:v>Mobile Web</x:v>
      </x:c>
      <x:c r="E103" s="17" t="str">
        <x:v>Mobile</x:v>
      </x:c>
      <x:c r="F103" s="17" t="str">
        <x:v>Price Comparison</x:v>
      </x:c>
      <x:c r="G103" s="17" t="n">
        <x:v>28</x:v>
      </x:c>
      <x:c r="H103" s="17" t="str">
        <x:v>SAMSUNG</x:v>
      </x:c>
      <x:c r="I103" s="17" t="str">
        <x:v>Telefon</x:v>
      </x:c>
      <x:c r="J103" s="17" t="str">
        <x:v>Cep Telefonları</x:v>
      </x:c>
      <x:c r="K103" s="17" t="str">
        <x:v>SAMSUNG Galaxy S25 FE 5G 8/256 GB Akıllı Telefon Beyaz</x:v>
      </x:c>
      <x:c r="L103" s="17" t="str">
        <x:v>1249059</x:v>
      </x:c>
      <x:c r="M103" s="22" t="n">
        <x:v>59958</x:v>
      </x:c>
      <x:c r="N103" s="26" t="n">
        <x:v>2.8</x:v>
      </x:c>
      <x:c r="O103" s="22" t="n">
        <x:v>16</x:v>
      </x:c>
      <x:c r="P103" s="22" t="n">
        <x:v>23</x:v>
      </x:c>
      <x:c r="Q103" s="22" t="n">
        <x:v>0</x:v>
      </x:c>
      <x:c r="R103" s="17" t="n">
        <x:v>3</x:v>
      </x:c>
      <x:c r="S103" s="22" t="n">
        <x:v>4</x:v>
      </x:c>
      <x:c r="T103" s="24" t="n">
        <x:v>0.6</x:v>
      </x:c>
      <x:c r="U103" s="24" t="n">
        <x:f>IFERROR(O103/T103,0)</x:f>
        <x:v>26.666666666666668</x:v>
      </x:c>
      <x:c r="V103" s="17" t="str">
        <x:f>IF(O103&lt;=0,"out_of_stock",IF(U103&lt;7,"critical_low_stock",IF(U103&gt;60,"overstock","in_stock")))</x:f>
        <x:v>in_stock</x:v>
      </x:c>
      <x:c r="W103" s="17" t="str">
        <x:f>IF(O103&lt;=0,"OOS",IF(AND(U103&lt;7,AC103&gt;=0.5),"High Risk",IF(U103&lt;14,"Medium Risk",IF(U103&gt;60,"Overstock","Healthy"))))</x:f>
        <x:v>Healthy</x:v>
      </x:c>
      <x:c r="X103" s="22" t="n">
        <x:v>402</x:v>
      </x:c>
      <x:c r="Y103" s="22" t="n">
        <x:v>43</x:v>
      </x:c>
      <x:c r="Z103" s="22" t="n">
        <x:v>3</x:v>
      </x:c>
      <x:c r="AA103" s="24" t="n">
        <x:f>IFERROR(Y103/X103*100,0)</x:f>
        <x:v>10.696517412935323</x:v>
      </x:c>
      <x:c r="AB103" s="26" t="n">
        <x:v>-24.7</x:v>
      </x:c>
      <x:c r="AC103" s="24" t="n">
        <x:f>IFERROR(Z103/X103*100,0)</x:f>
        <x:v>0.7462686567164178</x:v>
      </x:c>
      <x:c r="AD103" s="26" t="n">
        <x:v>14.8</x:v>
      </x:c>
      <x:c r="AE103" s="22" t="n">
        <x:f>IFERROR(Z103*M103,0)</x:f>
        <x:v>179874</x:v>
      </x:c>
      <x:c r="AF103" s="26" t="n">
        <x:v>16.6</x:v>
      </x:c>
      <x:c r="AG103" s="24" t="n">
        <x:v>69.5</x:v>
      </x:c>
      <x:c r="AH103" s="26" t="n">
        <x:v>4.3</x:v>
      </x:c>
      <x:c r="AI103" s="22" t="n">
        <x:v>32</x:v>
      </x:c>
      <x:c r="AJ103" s="22" t="n">
        <x:v>16</x:v>
      </x:c>
      <x:c r="AK103" s="22" t="n">
        <x:v>13</x:v>
      </x:c>
      <x:c r="AL103" s="22" t="n">
        <x:v>12</x:v>
      </x:c>
      <x:c r="AM103" s="22" t="n">
        <x:v>9</x:v>
      </x:c>
      <x:c r="AN103" s="24" t="n">
        <x:f>IFERROR(AI103/X103*100,0)</x:f>
        <x:v>7.960199004975125</x:v>
      </x:c>
      <x:c r="AO103" s="24" t="n">
        <x:f>IFERROR(AJ103/X103*100,0)</x:f>
        <x:v>3.9800995024875623</x:v>
      </x:c>
      <x:c r="AP103" s="24" t="n">
        <x:f>IFERROR(AK103/X103*100,0)</x:f>
        <x:v>3.233830845771144</x:v>
      </x:c>
      <x:c r="AQ103" s="24" t="n">
        <x:f>IFERROR(AL103/X103*100,0)</x:f>
        <x:v>2.9850746268656714</x:v>
      </x:c>
      <x:c r="AR103" s="24" t="n">
        <x:f>IFERROR(AM103/X103*100,0)</x:f>
        <x:v>2.2388059701492535</x:v>
      </x:c>
      <x:c r="AS103" s="24" t="n">
        <x:f>IFERROR(Z103/X103*100,0)</x:f>
        <x:v>0.7462686567164178</x:v>
      </x:c>
      <x:c r="AT103" s="26" t="n">
        <x:v>3.4</x:v>
      </x:c>
      <x:c r="AU103" s="26" t="n">
        <x:v>-24.7</x:v>
      </x:c>
      <x:c r="AV103" s="26" t="n">
        <x:v>-1.4</x:v>
      </x:c>
      <x:c r="AW103" s="26" t="n">
        <x:v>-2.7</x:v>
      </x:c>
      <x:c r="AX103" s="26" t="n">
        <x:v>-6</x:v>
      </x:c>
      <x:c r="AY103" s="26" t="n">
        <x:v>-58</x:v>
      </x:c>
      <x:c r="AZ103" s="26" t="n">
        <x:v>-44.7</x:v>
      </x:c>
      <x:c r="BA103" s="26" t="n">
        <x:v>14.8</x:v>
      </x:c>
      <x:c r="BB103" s="22" t="n">
        <x:f>IFERROR(AE103/Z103,0)</x:f>
        <x:v>59958</x:v>
      </x:c>
      <x:c r="BC103" s="17" t="n">
        <x:f>IF(OR(V103="out_of_stock",V103="critical_low_stock"),MAX(0,(14-U103)*T103),0)</x:f>
        <x:v>0</x:v>
      </x:c>
      <x:c r="BD103" s="22" t="n">
        <x:f>IFERROR(BC103*M103,0)</x:f>
        <x:v>0</x:v>
      </x:c>
      <x:c r="BE103" s="17" t="str">
        <x:v>mobile_funnel_behavior</x:v>
      </x:c>
      <x:c r="BF103" s="17" t="str">
        <x:v>inspired_by_uploaded_mobile_funnel_screenshot + copied_product_context</x:v>
      </x:c>
    </x:row>
    <x:row r="104">
      <x:c r="A104" s="17" t="n">
        <x:v>103</x:v>
      </x:c>
      <x:c r="B104" s="17" t="str">
        <x:v>MOBILE_EVENT_FUNNEL</x:v>
      </x:c>
      <x:c r="C104" s="20" t="n">
        <x:v>46146</x:v>
      </x:c>
      <x:c r="D104" s="17" t="str">
        <x:v>Mobile Web</x:v>
      </x:c>
      <x:c r="E104" s="17" t="str">
        <x:v>Mobile</x:v>
      </x:c>
      <x:c r="F104" s="17" t="str">
        <x:v>Price Comparison</x:v>
      </x:c>
      <x:c r="G104" s="17" t="n">
        <x:v>28</x:v>
      </x:c>
      <x:c r="H104" s="17" t="str">
        <x:v>SAMSUNG</x:v>
      </x:c>
      <x:c r="I104" s="17" t="str">
        <x:v>Telefon</x:v>
      </x:c>
      <x:c r="J104" s="17" t="str">
        <x:v>Cep Telefonları</x:v>
      </x:c>
      <x:c r="K104" s="17" t="str">
        <x:v>SAMSUNG Galaxy S25 Ultra 5G 12/256GB Akıllı Telefon Titanyum Siyah</x:v>
      </x:c>
      <x:c r="L104" s="17" t="str">
        <x:v>1245636</x:v>
      </x:c>
      <x:c r="M104" s="22" t="n">
        <x:v>76212</x:v>
      </x:c>
      <x:c r="N104" s="26" t="n">
        <x:v>8.3</x:v>
      </x:c>
      <x:c r="O104" s="22" t="n">
        <x:v>80</x:v>
      </x:c>
      <x:c r="P104" s="22" t="n">
        <x:v>94</x:v>
      </x:c>
      <x:c r="Q104" s="22" t="n">
        <x:v>0</x:v>
      </x:c>
      <x:c r="R104" s="17" t="n">
        <x:v>7</x:v>
      </x:c>
      <x:c r="S104" s="22" t="n">
        <x:v>18</x:v>
      </x:c>
      <x:c r="T104" s="24" t="n">
        <x:v>1.8</x:v>
      </x:c>
      <x:c r="U104" s="24" t="n">
        <x:f>IFERROR(O104/T104,0)</x:f>
        <x:v>44.44444444444444</x:v>
      </x:c>
      <x:c r="V104" s="17" t="str">
        <x:f>IF(O104&lt;=0,"out_of_stock",IF(U104&lt;7,"critical_low_stock",IF(U104&gt;60,"overstock","in_stock")))</x:f>
        <x:v>in_stock</x:v>
      </x:c>
      <x:c r="W104" s="17" t="str">
        <x:f>IF(O104&lt;=0,"OOS",IF(AND(U104&lt;7,AC104&gt;=0.5),"High Risk",IF(U104&lt;14,"Medium Risk",IF(U104&gt;60,"Overstock","Healthy"))))</x:f>
        <x:v>Healthy</x:v>
      </x:c>
      <x:c r="X104" s="22" t="n">
        <x:v>183</x:v>
      </x:c>
      <x:c r="Y104" s="22" t="n">
        <x:v>22</x:v>
      </x:c>
      <x:c r="Z104" s="22" t="n">
        <x:v>2</x:v>
      </x:c>
      <x:c r="AA104" s="24" t="n">
        <x:f>IFERROR(Y104/X104*100,0)</x:f>
        <x:v>12.021857923497267</x:v>
      </x:c>
      <x:c r="AB104" s="26" t="n">
        <x:v>-28.8</x:v>
      </x:c>
      <x:c r="AC104" s="24" t="n">
        <x:f>IFERROR(Z104/X104*100,0)</x:f>
        <x:v>1.092896174863388</x:v>
      </x:c>
      <x:c r="AD104" s="26" t="n">
        <x:v>-66.1</x:v>
      </x:c>
      <x:c r="AE104" s="22" t="n">
        <x:f>IFERROR(Z104*M104,0)</x:f>
        <x:v>152424</x:v>
      </x:c>
      <x:c r="AF104" s="26" t="n">
        <x:v>-67.2</x:v>
      </x:c>
      <x:c r="AG104" s="24" t="n">
        <x:v>51.2</x:v>
      </x:c>
      <x:c r="AH104" s="26" t="n">
        <x:v>10.7</x:v>
      </x:c>
      <x:c r="AI104" s="22" t="n">
        <x:v>18</x:v>
      </x:c>
      <x:c r="AJ104" s="22" t="n">
        <x:v>7</x:v>
      </x:c>
      <x:c r="AK104" s="22" t="n">
        <x:v>6</x:v>
      </x:c>
      <x:c r="AL104" s="22" t="n">
        <x:v>4</x:v>
      </x:c>
      <x:c r="AM104" s="22" t="n">
        <x:v>4</x:v>
      </x:c>
      <x:c r="AN104" s="24" t="n">
        <x:f>IFERROR(AI104/X104*100,0)</x:f>
        <x:v>9.836065573770492</x:v>
      </x:c>
      <x:c r="AO104" s="24" t="n">
        <x:f>IFERROR(AJ104/X104*100,0)</x:f>
        <x:v>3.825136612021858</x:v>
      </x:c>
      <x:c r="AP104" s="24" t="n">
        <x:f>IFERROR(AK104/X104*100,0)</x:f>
        <x:v>3.278688524590164</x:v>
      </x:c>
      <x:c r="AQ104" s="24" t="n">
        <x:f>IFERROR(AL104/X104*100,0)</x:f>
        <x:v>2.185792349726776</x:v>
      </x:c>
      <x:c r="AR104" s="24" t="n">
        <x:f>IFERROR(AM104/X104*100,0)</x:f>
        <x:v>2.185792349726776</x:v>
      </x:c>
      <x:c r="AS104" s="24" t="n">
        <x:f>IFERROR(Z104/X104*100,0)</x:f>
        <x:v>1.092896174863388</x:v>
      </x:c>
      <x:c r="AT104" s="26" t="n">
        <x:v>-7.4</x:v>
      </x:c>
      <x:c r="AU104" s="26" t="n">
        <x:v>-28.8</x:v>
      </x:c>
      <x:c r="AV104" s="26" t="n">
        <x:v>-21.5</x:v>
      </x:c>
      <x:c r="AW104" s="26" t="n">
        <x:v>-1.9</x:v>
      </x:c>
      <x:c r="AX104" s="26" t="n">
        <x:v>6.5</x:v>
      </x:c>
      <x:c r="AY104" s="26" t="n">
        <x:v>-2.4</x:v>
      </x:c>
      <x:c r="AZ104" s="26" t="n">
        <x:v>3.7</x:v>
      </x:c>
      <x:c r="BA104" s="26" t="n">
        <x:v>-66.1</x:v>
      </x:c>
      <x:c r="BB104" s="22" t="n">
        <x:f>IFERROR(AE104/Z104,0)</x:f>
        <x:v>76212</x:v>
      </x:c>
      <x:c r="BC104" s="17" t="n">
        <x:f>IF(OR(V104="out_of_stock",V104="critical_low_stock"),MAX(0,(14-U104)*T104),0)</x:f>
        <x:v>0</x:v>
      </x:c>
      <x:c r="BD104" s="22" t="n">
        <x:f>IFERROR(BC104*M104,0)</x:f>
        <x:v>0</x:v>
      </x:c>
      <x:c r="BE104" s="17" t="str">
        <x:v>mobile_funnel_behavior</x:v>
      </x:c>
      <x:c r="BF104" s="17" t="str">
        <x:v>inspired_by_uploaded_mobile_funnel_screenshot + copied_product_context</x:v>
      </x:c>
    </x:row>
    <x:row r="105">
      <x:c r="A105" s="17" t="n">
        <x:v>104</x:v>
      </x:c>
      <x:c r="B105" s="17" t="str">
        <x:v>MOBILE_EVENT_FUNNEL</x:v>
      </x:c>
      <x:c r="C105" s="20" t="n">
        <x:v>46147</x:v>
      </x:c>
      <x:c r="D105" s="17" t="str">
        <x:v>Mobile Web</x:v>
      </x:c>
      <x:c r="E105" s="17" t="str">
        <x:v>Mobile</x:v>
      </x:c>
      <x:c r="F105" s="17" t="str">
        <x:v>Search Organic Brand</x:v>
      </x:c>
      <x:c r="G105" s="17" t="n">
        <x:v>99</x:v>
      </x:c>
      <x:c r="H105" s="17" t="str">
        <x:v>PHILIPS</x:v>
      </x:c>
      <x:c r="I105" s="17" t="str">
        <x:v>Other</x:v>
      </x:c>
      <x:c r="J105" s="17" t="str">
        <x:v>Other</x:v>
      </x:c>
      <x:c r="K105" s="17" t="str">
        <x:v>PHILIPS XV5113/01 OneUp 5000 Serisi Elektrikli Mop</x:v>
      </x:c>
      <x:c r="L105" s="17" t="str">
        <x:v>1251309</x:v>
      </x:c>
      <x:c r="M105" s="22" t="n">
        <x:v>7460</x:v>
      </x:c>
      <x:c r="N105" s="26" t="n">
        <x:v>8.3</x:v>
      </x:c>
      <x:c r="O105" s="22" t="n">
        <x:v>65</x:v>
      </x:c>
      <x:c r="P105" s="22" t="n">
        <x:v>30</x:v>
      </x:c>
      <x:c r="Q105" s="22" t="n">
        <x:v>0</x:v>
      </x:c>
      <x:c r="R105" s="17" t="n">
        <x:v>5</x:v>
      </x:c>
      <x:c r="S105" s="22" t="n">
        <x:v>11</x:v>
      </x:c>
      <x:c r="T105" s="24" t="n">
        <x:v>1.3</x:v>
      </x:c>
      <x:c r="U105" s="24" t="n">
        <x:f>IFERROR(O105/T105,0)</x:f>
        <x:v>50</x:v>
      </x:c>
      <x:c r="V105" s="17" t="str">
        <x:f>IF(O105&lt;=0,"out_of_stock",IF(U105&lt;7,"critical_low_stock",IF(U105&gt;60,"overstock","in_stock")))</x:f>
        <x:v>in_stock</x:v>
      </x:c>
      <x:c r="W105" s="17" t="str">
        <x:f>IF(O105&lt;=0,"OOS",IF(AND(U105&lt;7,AC105&gt;=0.5),"High Risk",IF(U105&lt;14,"Medium Risk",IF(U105&gt;60,"Overstock","Healthy"))))</x:f>
        <x:v>Healthy</x:v>
      </x:c>
      <x:c r="X105" s="22" t="n">
        <x:v>557</x:v>
      </x:c>
      <x:c r="Y105" s="22" t="n">
        <x:v>63</x:v>
      </x:c>
      <x:c r="Z105" s="22" t="n">
        <x:v>1</x:v>
      </x:c>
      <x:c r="AA105" s="24" t="n">
        <x:f>IFERROR(Y105/X105*100,0)</x:f>
        <x:v>11.310592459605028</x:v>
      </x:c>
      <x:c r="AB105" s="26" t="n">
        <x:v>21.2</x:v>
      </x:c>
      <x:c r="AC105" s="24" t="n">
        <x:f>IFERROR(Z105/X105*100,0)</x:f>
        <x:v>0.17953321364452424</x:v>
      </x:c>
      <x:c r="AD105" s="26" t="n">
        <x:v>-84.9</x:v>
      </x:c>
      <x:c r="AE105" s="22" t="n">
        <x:f>IFERROR(Z105*M105,0)</x:f>
        <x:v>7460</x:v>
      </x:c>
      <x:c r="AF105" s="26" t="n">
        <x:v>-81.9</x:v>
      </x:c>
      <x:c r="AG105" s="24" t="n">
        <x:v>61.4</x:v>
      </x:c>
      <x:c r="AH105" s="26" t="n">
        <x:v>12.2</x:v>
      </x:c>
      <x:c r="AI105" s="22" t="n">
        <x:v>23</x:v>
      </x:c>
      <x:c r="AJ105" s="22" t="n">
        <x:v>9</x:v>
      </x:c>
      <x:c r="AK105" s="22" t="n">
        <x:v>4</x:v>
      </x:c>
      <x:c r="AL105" s="22" t="n">
        <x:v>3</x:v>
      </x:c>
      <x:c r="AM105" s="22" t="n">
        <x:v>2</x:v>
      </x:c>
      <x:c r="AN105" s="24" t="n">
        <x:f>IFERROR(AI105/X105*100,0)</x:f>
        <x:v>4.129263913824058</x:v>
      </x:c>
      <x:c r="AO105" s="24" t="n">
        <x:f>IFERROR(AJ105/X105*100,0)</x:f>
        <x:v>1.615798922800718</x:v>
      </x:c>
      <x:c r="AP105" s="24" t="n">
        <x:f>IFERROR(AK105/X105*100,0)</x:f>
        <x:v>0.718132854578097</x:v>
      </x:c>
      <x:c r="AQ105" s="24" t="n">
        <x:f>IFERROR(AL105/X105*100,0)</x:f>
        <x:v>0.5385996409335727</x:v>
      </x:c>
      <x:c r="AR105" s="24" t="n">
        <x:f>IFERROR(AM105/X105*100,0)</x:f>
        <x:v>0.3590664272890485</x:v>
      </x:c>
      <x:c r="AS105" s="24" t="n">
        <x:f>IFERROR(Z105/X105*100,0)</x:f>
        <x:v>0.17953321364452424</x:v>
      </x:c>
      <x:c r="AT105" s="26" t="n">
        <x:v>35.9</x:v>
      </x:c>
      <x:c r="AU105" s="26" t="n">
        <x:v>21.2</x:v>
      </x:c>
      <x:c r="AV105" s="26" t="n">
        <x:v>-19.5</x:v>
      </x:c>
      <x:c r="AW105" s="26" t="n">
        <x:v>31.5</x:v>
      </x:c>
      <x:c r="AX105" s="26" t="n">
        <x:v>-21</x:v>
      </x:c>
      <x:c r="AY105" s="26" t="n">
        <x:v>-22.9</x:v>
      </x:c>
      <x:c r="AZ105" s="26" t="n">
        <x:v>-13.3</x:v>
      </x:c>
      <x:c r="BA105" s="26" t="n">
        <x:v>-84.9</x:v>
      </x:c>
      <x:c r="BB105" s="22" t="n">
        <x:f>IFERROR(AE105/Z105,0)</x:f>
        <x:v>7460</x:v>
      </x:c>
      <x:c r="BC105" s="17" t="n">
        <x:f>IF(OR(V105="out_of_stock",V105="critical_low_stock"),MAX(0,(14-U105)*T105),0)</x:f>
        <x:v>0</x:v>
      </x:c>
      <x:c r="BD105" s="22" t="n">
        <x:f>IFERROR(BC105*M105,0)</x:f>
        <x:v>0</x:v>
      </x:c>
      <x:c r="BE105" s="17" t="str">
        <x:v>mobile_funnel_behavior</x:v>
      </x:c>
      <x:c r="BF105" s="17" t="str">
        <x:v>inspired_by_uploaded_mobile_funnel_screenshot + copied_product_context</x:v>
      </x:c>
    </x:row>
    <x:row r="106">
      <x:c r="A106" s="17" t="n">
        <x:v>105</x:v>
      </x:c>
      <x:c r="B106" s="17" t="str">
        <x:v>MOBILE_EVENT_FUNNEL</x:v>
      </x:c>
      <x:c r="C106" s="20" t="n">
        <x:v>46148</x:v>
      </x:c>
      <x:c r="D106" s="17" t="str">
        <x:v>Mobile Web</x:v>
      </x:c>
      <x:c r="E106" s="17" t="str">
        <x:v>Mobile</x:v>
      </x:c>
      <x:c r="F106" s="17" t="str">
        <x:v>Affiliate</x:v>
      </x:c>
      <x:c r="G106" s="17" t="n">
        <x:v>28</x:v>
      </x:c>
      <x:c r="H106" s="17" t="str">
        <x:v>APPLE</x:v>
      </x:c>
      <x:c r="I106" s="17" t="str">
        <x:v>Telefon</x:v>
      </x:c>
      <x:c r="J106" s="17" t="str">
        <x:v>Cep Telefonları</x:v>
      </x:c>
      <x:c r="K106" s="17" t="str">
        <x:v>APPLE iPhone 15 256 GB Akıllı Telefon Yeşil MTPA3TU/A</x:v>
      </x:c>
      <x:c r="L106" s="17" t="str">
        <x:v>1232442</x:v>
      </x:c>
      <x:c r="M106" s="22" t="n">
        <x:v>37061</x:v>
      </x:c>
      <x:c r="N106" s="26" t="n">
        <x:v>2.9</x:v>
      </x:c>
      <x:c r="O106" s="22" t="n">
        <x:v>6</x:v>
      </x:c>
      <x:c r="P106" s="22" t="n">
        <x:v>6</x:v>
      </x:c>
      <x:c r="Q106" s="22" t="n">
        <x:v>0</x:v>
      </x:c>
      <x:c r="R106" s="17" t="n">
        <x:v>10</x:v>
      </x:c>
      <x:c r="S106" s="22" t="n">
        <x:v>7</x:v>
      </x:c>
      <x:c r="T106" s="24" t="n">
        <x:v>0.5</x:v>
      </x:c>
      <x:c r="U106" s="24" t="n">
        <x:f>IFERROR(O106/T106,0)</x:f>
        <x:v>12</x:v>
      </x:c>
      <x:c r="V106" s="17" t="str">
        <x:f>IF(O106&lt;=0,"out_of_stock",IF(U106&lt;7,"critical_low_stock",IF(U106&gt;60,"overstock","in_stock")))</x:f>
        <x:v>in_stock</x:v>
      </x:c>
      <x:c r="W106" s="17" t="str">
        <x:f>IF(O106&lt;=0,"OOS",IF(AND(U106&lt;7,AC106&gt;=0.5),"High Risk",IF(U106&lt;14,"Medium Risk",IF(U106&gt;60,"Overstock","Healthy"))))</x:f>
        <x:v>Medium Risk</x:v>
      </x:c>
      <x:c r="X106" s="22" t="n">
        <x:v>382</x:v>
      </x:c>
      <x:c r="Y106" s="22" t="n">
        <x:v>26</x:v>
      </x:c>
      <x:c r="Z106" s="22" t="n">
        <x:v>2</x:v>
      </x:c>
      <x:c r="AA106" s="24" t="n">
        <x:f>IFERROR(Y106/X106*100,0)</x:f>
        <x:v>6.806282722513089</x:v>
      </x:c>
      <x:c r="AB106" s="26" t="n">
        <x:v>-20.4</x:v>
      </x:c>
      <x:c r="AC106" s="24" t="n">
        <x:f>IFERROR(Z106/X106*100,0)</x:f>
        <x:v>0.5235602094240838</x:v>
      </x:c>
      <x:c r="AD106" s="26" t="n">
        <x:v>-82.4</x:v>
      </x:c>
      <x:c r="AE106" s="22" t="n">
        <x:f>IFERROR(Z106*M106,0)</x:f>
        <x:v>74122</x:v>
      </x:c>
      <x:c r="AF106" s="26" t="n">
        <x:v>-71.2</x:v>
      </x:c>
      <x:c r="AG106" s="24" t="n">
        <x:v>46.2</x:v>
      </x:c>
      <x:c r="AH106" s="26" t="n">
        <x:v>2.8</x:v>
      </x:c>
      <x:c r="AI106" s="22" t="n">
        <x:v>13</x:v>
      </x:c>
      <x:c r="AJ106" s="22" t="n">
        <x:v>8</x:v>
      </x:c>
      <x:c r="AK106" s="22" t="n">
        <x:v>6</x:v>
      </x:c>
      <x:c r="AL106" s="22" t="n">
        <x:v>5</x:v>
      </x:c>
      <x:c r="AM106" s="22" t="n">
        <x:v>3</x:v>
      </x:c>
      <x:c r="AN106" s="24" t="n">
        <x:f>IFERROR(AI106/X106*100,0)</x:f>
        <x:v>3.4031413612565444</x:v>
      </x:c>
      <x:c r="AO106" s="24" t="n">
        <x:f>IFERROR(AJ106/X106*100,0)</x:f>
        <x:v>2.094240837696335</x:v>
      </x:c>
      <x:c r="AP106" s="24" t="n">
        <x:f>IFERROR(AK106/X106*100,0)</x:f>
        <x:v>1.5706806282722512</x:v>
      </x:c>
      <x:c r="AQ106" s="24" t="n">
        <x:f>IFERROR(AL106/X106*100,0)</x:f>
        <x:v>1.3089005235602094</x:v>
      </x:c>
      <x:c r="AR106" s="24" t="n">
        <x:f>IFERROR(AM106/X106*100,0)</x:f>
        <x:v>0.7853403141361256</x:v>
      </x:c>
      <x:c r="AS106" s="24" t="n">
        <x:f>IFERROR(Z106/X106*100,0)</x:f>
        <x:v>0.5235602094240838</x:v>
      </x:c>
      <x:c r="AT106" s="26" t="n">
        <x:v>14.2</x:v>
      </x:c>
      <x:c r="AU106" s="26" t="n">
        <x:v>-20.4</x:v>
      </x:c>
      <x:c r="AV106" s="26" t="n">
        <x:v>-24.2</x:v>
      </x:c>
      <x:c r="AW106" s="26" t="n">
        <x:v>-69</x:v>
      </x:c>
      <x:c r="AX106" s="26" t="n">
        <x:v>8.9</x:v>
      </x:c>
      <x:c r="AY106" s="26" t="n">
        <x:v>-24.4</x:v>
      </x:c>
      <x:c r="AZ106" s="26" t="n">
        <x:v>-26.6</x:v>
      </x:c>
      <x:c r="BA106" s="26" t="n">
        <x:v>-82.4</x:v>
      </x:c>
      <x:c r="BB106" s="22" t="n">
        <x:f>IFERROR(AE106/Z106,0)</x:f>
        <x:v>37061</x:v>
      </x:c>
      <x:c r="BC106" s="17" t="n">
        <x:f>IF(OR(V106="out_of_stock",V106="critical_low_stock"),MAX(0,(14-U106)*T106),0)</x:f>
        <x:v>0</x:v>
      </x:c>
      <x:c r="BD106" s="22" t="n">
        <x:f>IFERROR(BC106*M106,0)</x:f>
        <x:v>0</x:v>
      </x:c>
      <x:c r="BE106" s="17" t="str">
        <x:v>mobile_funnel_behavior</x:v>
      </x:c>
      <x:c r="BF106" s="17" t="str">
        <x:v>inspired_by_uploaded_mobile_funnel_screenshot + copied_product_context</x:v>
      </x:c>
    </x:row>
    <x:row r="107">
      <x:c r="A107" s="17" t="n">
        <x:v>106</x:v>
      </x:c>
      <x:c r="B107" s="17" t="str">
        <x:v>MOBILE_EVENT_FUNNEL</x:v>
      </x:c>
      <x:c r="C107" s="20" t="n">
        <x:v>46149</x:v>
      </x:c>
      <x:c r="D107" s="17" t="str">
        <x:v>Mobile Web</x:v>
      </x:c>
      <x:c r="E107" s="17" t="str">
        <x:v>Mobile</x:v>
      </x:c>
      <x:c r="F107" s="17" t="str">
        <x:v>Search Paid Generic</x:v>
      </x:c>
      <x:c r="G107" s="17" t="n">
        <x:v>34</x:v>
      </x:c>
      <x:c r="H107" s="17" t="str">
        <x:v>ECOVACS</x:v>
      </x:c>
      <x:c r="I107" s="17" t="str">
        <x:v>Ev Aletleri &amp; Yaşam</x:v>
      </x:c>
      <x:c r="J107" s="17" t="str">
        <x:v>Süpürgeler</x:v>
      </x:c>
      <x:c r="K107" s="17" t="str">
        <x:v>ECOVACS T80S Omni Robot Süpürge + Mop Siyah</x:v>
      </x:c>
      <x:c r="L107" s="17" t="str">
        <x:v>1252217</x:v>
      </x:c>
      <x:c r="M107" s="22" t="n">
        <x:v>28333</x:v>
      </x:c>
      <x:c r="N107" s="26" t="n">
        <x:v>-20.9</x:v>
      </x:c>
      <x:c r="O107" s="22" t="n">
        <x:v>21</x:v>
      </x:c>
      <x:c r="P107" s="22" t="n">
        <x:v>11</x:v>
      </x:c>
      <x:c r="Q107" s="22" t="n">
        <x:v>36</x:v>
      </x:c>
      <x:c r="R107" s="17" t="n">
        <x:v>21</x:v>
      </x:c>
      <x:c r="S107" s="22" t="n">
        <x:v>41</x:v>
      </x:c>
      <x:c r="T107" s="24" t="n">
        <x:v>1.7</x:v>
      </x:c>
      <x:c r="U107" s="24" t="n">
        <x:f>IFERROR(O107/T107,0)</x:f>
        <x:v>12.352941176470589</x:v>
      </x:c>
      <x:c r="V107" s="17" t="str">
        <x:f>IF(O107&lt;=0,"out_of_stock",IF(U107&lt;7,"critical_low_stock",IF(U107&gt;60,"overstock","in_stock")))</x:f>
        <x:v>in_stock</x:v>
      </x:c>
      <x:c r="W107" s="17" t="str">
        <x:f>IF(O107&lt;=0,"OOS",IF(AND(U107&lt;7,AC107&gt;=0.5),"High Risk",IF(U107&lt;14,"Medium Risk",IF(U107&gt;60,"Overstock","Healthy"))))</x:f>
        <x:v>Medium Risk</x:v>
      </x:c>
      <x:c r="X107" s="22" t="n">
        <x:v>876</x:v>
      </x:c>
      <x:c r="Y107" s="22" t="n">
        <x:v>73</x:v>
      </x:c>
      <x:c r="Z107" s="22" t="n">
        <x:v>4</x:v>
      </x:c>
      <x:c r="AA107" s="24" t="n">
        <x:f>IFERROR(Y107/X107*100,0)</x:f>
        <x:v>8.333333333333332</x:v>
      </x:c>
      <x:c r="AB107" s="26" t="n">
        <x:v>-59.5</x:v>
      </x:c>
      <x:c r="AC107" s="24" t="n">
        <x:f>IFERROR(Z107/X107*100,0)</x:f>
        <x:v>0.45662100456621</x:v>
      </x:c>
      <x:c r="AD107" s="26" t="n">
        <x:v>-41.2</x:v>
      </x:c>
      <x:c r="AE107" s="22" t="n">
        <x:f>IFERROR(Z107*M107,0)</x:f>
        <x:v>113332</x:v>
      </x:c>
      <x:c r="AF107" s="26" t="n">
        <x:v>-68.3</x:v>
      </x:c>
      <x:c r="AG107" s="24" t="n">
        <x:v>37.5</x:v>
      </x:c>
      <x:c r="AH107" s="26" t="n">
        <x:v>12.9</x:v>
      </x:c>
      <x:c r="AI107" s="22" t="n">
        <x:v>31</x:v>
      </x:c>
      <x:c r="AJ107" s="22" t="n">
        <x:v>13</x:v>
      </x:c>
      <x:c r="AK107" s="22" t="n">
        <x:v>7</x:v>
      </x:c>
      <x:c r="AL107" s="22" t="n">
        <x:v>6</x:v>
      </x:c>
      <x:c r="AM107" s="22" t="n">
        <x:v>5</x:v>
      </x:c>
      <x:c r="AN107" s="24" t="n">
        <x:f>IFERROR(AI107/X107*100,0)</x:f>
        <x:v>3.5388127853881275</x:v>
      </x:c>
      <x:c r="AO107" s="24" t="n">
        <x:f>IFERROR(AJ107/X107*100,0)</x:f>
        <x:v>1.4840182648401825</x:v>
      </x:c>
      <x:c r="AP107" s="24" t="n">
        <x:f>IFERROR(AK107/X107*100,0)</x:f>
        <x:v>0.7990867579908676</x:v>
      </x:c>
      <x:c r="AQ107" s="24" t="n">
        <x:f>IFERROR(AL107/X107*100,0)</x:f>
        <x:v>0.684931506849315</x:v>
      </x:c>
      <x:c r="AR107" s="24" t="n">
        <x:f>IFERROR(AM107/X107*100,0)</x:f>
        <x:v>0.5707762557077625</x:v>
      </x:c>
      <x:c r="AS107" s="24" t="n">
        <x:f>IFERROR(Z107/X107*100,0)</x:f>
        <x:v>0.45662100456621</x:v>
      </x:c>
      <x:c r="AT107" s="26" t="n">
        <x:v>-13.5</x:v>
      </x:c>
      <x:c r="AU107" s="26" t="n">
        <x:v>-59.5</x:v>
      </x:c>
      <x:c r="AV107" s="26" t="n">
        <x:v>-21.5</x:v>
      </x:c>
      <x:c r="AW107" s="26" t="n">
        <x:v>-14.9</x:v>
      </x:c>
      <x:c r="AX107" s="26" t="n">
        <x:v>12.8</x:v>
      </x:c>
      <x:c r="AY107" s="26" t="n">
        <x:v>-20.4</x:v>
      </x:c>
      <x:c r="AZ107" s="26" t="n">
        <x:v>-7.6</x:v>
      </x:c>
      <x:c r="BA107" s="26" t="n">
        <x:v>-41.2</x:v>
      </x:c>
      <x:c r="BB107" s="22" t="n">
        <x:f>IFERROR(AE107/Z107,0)</x:f>
        <x:v>28333</x:v>
      </x:c>
      <x:c r="BC107" s="17" t="n">
        <x:f>IF(OR(V107="out_of_stock",V107="critical_low_stock"),MAX(0,(14-U107)*T107),0)</x:f>
        <x:v>0</x:v>
      </x:c>
      <x:c r="BD107" s="22" t="n">
        <x:f>IFERROR(BC107*M107,0)</x:f>
        <x:v>0</x:v>
      </x:c>
      <x:c r="BE107" s="17" t="str">
        <x:v>mobile_funnel_behavior</x:v>
      </x:c>
      <x:c r="BF107" s="17" t="str">
        <x:v>inspired_by_uploaded_mobile_funnel_screenshot + copied_product_context</x:v>
      </x:c>
    </x:row>
    <x:row r="108">
      <x:c r="A108" s="17" t="n">
        <x:v>107</x:v>
      </x:c>
      <x:c r="B108" s="17" t="str">
        <x:v>MOBILE_EVENT_FUNNEL</x:v>
      </x:c>
      <x:c r="C108" s="20" t="n">
        <x:v>46150</x:v>
      </x:c>
      <x:c r="D108" s="17" t="str">
        <x:v>Mobile Web</x:v>
      </x:c>
      <x:c r="E108" s="17" t="str">
        <x:v>Mobile</x:v>
      </x:c>
      <x:c r="F108" s="17" t="str">
        <x:v>Search Paid Brand</x:v>
      </x:c>
      <x:c r="G108" s="17" t="n">
        <x:v>28</x:v>
      </x:c>
      <x:c r="H108" s="17" t="str">
        <x:v>SAMSUNG</x:v>
      </x:c>
      <x:c r="I108" s="17" t="str">
        <x:v>Telefon</x:v>
      </x:c>
      <x:c r="J108" s="17" t="str">
        <x:v>Cep Telefonları</x:v>
      </x:c>
      <x:c r="K108" s="17" t="str">
        <x:v>SAMSUNG Galaxy A17 5G 8/256GB Akıllı Telefon Siyah</x:v>
      </x:c>
      <x:c r="L108" s="17" t="str">
        <x:v>1248870</x:v>
      </x:c>
      <x:c r="M108" s="22" t="n">
        <x:v>27339</x:v>
      </x:c>
      <x:c r="N108" s="26" t="n">
        <x:v>22.7</x:v>
      </x:c>
      <x:c r="O108" s="22" t="n">
        <x:v>171</x:v>
      </x:c>
      <x:c r="P108" s="22" t="n">
        <x:v>86</x:v>
      </x:c>
      <x:c r="Q108" s="22" t="n">
        <x:v>0</x:v>
      </x:c>
      <x:c r="R108" s="17" t="n">
        <x:v>14</x:v>
      </x:c>
      <x:c r="S108" s="22" t="n">
        <x:v>24</x:v>
      </x:c>
      <x:c r="T108" s="24" t="n">
        <x:v>1.4</x:v>
      </x:c>
      <x:c r="U108" s="24" t="n">
        <x:f>IFERROR(O108/T108,0)</x:f>
        <x:v>122.14285714285715</x:v>
      </x:c>
      <x:c r="V108" s="17" t="str">
        <x:f>IF(O108&lt;=0,"out_of_stock",IF(U108&lt;7,"critical_low_stock",IF(U108&gt;60,"overstock","in_stock")))</x:f>
        <x:v>overstock</x:v>
      </x:c>
      <x:c r="W108" s="17" t="str">
        <x:f>IF(O108&lt;=0,"OOS",IF(AND(U108&lt;7,AC108&gt;=0.5),"High Risk",IF(U108&lt;14,"Medium Risk",IF(U108&gt;60,"Overstock","Healthy"))))</x:f>
        <x:v>Overstock</x:v>
      </x:c>
      <x:c r="X108" s="22" t="n">
        <x:v>608</x:v>
      </x:c>
      <x:c r="Y108" s="22" t="n">
        <x:v>46</x:v>
      </x:c>
      <x:c r="Z108" s="22" t="n">
        <x:v>4</x:v>
      </x:c>
      <x:c r="AA108" s="24" t="n">
        <x:f>IFERROR(Y108/X108*100,0)</x:f>
        <x:v>7.565789473684211</x:v>
      </x:c>
      <x:c r="AB108" s="26" t="n">
        <x:v>-77.8</x:v>
      </x:c>
      <x:c r="AC108" s="24" t="n">
        <x:f>IFERROR(Z108/X108*100,0)</x:f>
        <x:v>0.6578947368421052</x:v>
      </x:c>
      <x:c r="AD108" s="26" t="n">
        <x:v>-13</x:v>
      </x:c>
      <x:c r="AE108" s="22" t="n">
        <x:f>IFERROR(Z108*M108,0)</x:f>
        <x:v>109356</x:v>
      </x:c>
      <x:c r="AF108" s="26" t="n">
        <x:v>14.5</x:v>
      </x:c>
      <x:c r="AG108" s="24" t="n">
        <x:v>65.9</x:v>
      </x:c>
      <x:c r="AH108" s="26" t="n">
        <x:v>4.1</x:v>
      </x:c>
      <x:c r="AI108" s="22" t="n">
        <x:v>22</x:v>
      </x:c>
      <x:c r="AJ108" s="22" t="n">
        <x:v>13</x:v>
      </x:c>
      <x:c r="AK108" s="22" t="n">
        <x:v>7</x:v>
      </x:c>
      <x:c r="AL108" s="22" t="n">
        <x:v>7</x:v>
      </x:c>
      <x:c r="AM108" s="22" t="n">
        <x:v>5</x:v>
      </x:c>
      <x:c r="AN108" s="24" t="n">
        <x:f>IFERROR(AI108/X108*100,0)</x:f>
        <x:v>3.618421052631579</x:v>
      </x:c>
      <x:c r="AO108" s="24" t="n">
        <x:f>IFERROR(AJ108/X108*100,0)</x:f>
        <x:v>2.138157894736842</x:v>
      </x:c>
      <x:c r="AP108" s="24" t="n">
        <x:f>IFERROR(AK108/X108*100,0)</x:f>
        <x:v>1.151315789473684</x:v>
      </x:c>
      <x:c r="AQ108" s="24" t="n">
        <x:f>IFERROR(AL108/X108*100,0)</x:f>
        <x:v>1.151315789473684</x:v>
      </x:c>
      <x:c r="AR108" s="24" t="n">
        <x:f>IFERROR(AM108/X108*100,0)</x:f>
        <x:v>0.8223684210526315</x:v>
      </x:c>
      <x:c r="AS108" s="24" t="n">
        <x:f>IFERROR(Z108/X108*100,0)</x:f>
        <x:v>0.6578947368421052</x:v>
      </x:c>
      <x:c r="AT108" s="26" t="n">
        <x:v>13.4</x:v>
      </x:c>
      <x:c r="AU108" s="26" t="n">
        <x:v>-77.8</x:v>
      </x:c>
      <x:c r="AV108" s="26" t="n">
        <x:v>-23.4</x:v>
      </x:c>
      <x:c r="AW108" s="26" t="n">
        <x:v>-61.3</x:v>
      </x:c>
      <x:c r="AX108" s="26" t="n">
        <x:v>4.5</x:v>
      </x:c>
      <x:c r="AY108" s="26" t="n">
        <x:v>2.9</x:v>
      </x:c>
      <x:c r="AZ108" s="26" t="n">
        <x:v>16.5</x:v>
      </x:c>
      <x:c r="BA108" s="26" t="n">
        <x:v>-13</x:v>
      </x:c>
      <x:c r="BB108" s="22" t="n">
        <x:f>IFERROR(AE108/Z108,0)</x:f>
        <x:v>27339</x:v>
      </x:c>
      <x:c r="BC108" s="17" t="n">
        <x:f>IF(OR(V108="out_of_stock",V108="critical_low_stock"),MAX(0,(14-U108)*T108),0)</x:f>
        <x:v>0</x:v>
      </x:c>
      <x:c r="BD108" s="22" t="n">
        <x:f>IFERROR(BC108*M108,0)</x:f>
        <x:v>0</x:v>
      </x:c>
      <x:c r="BE108" s="17" t="str">
        <x:v>mobile_funnel_behavior</x:v>
      </x:c>
      <x:c r="BF108" s="17" t="str">
        <x:v>inspired_by_uploaded_mobile_funnel_screenshot + copied_product_context</x:v>
      </x:c>
    </x:row>
    <x:row r="109">
      <x:c r="A109" s="17" t="n">
        <x:v>108</x:v>
      </x:c>
      <x:c r="B109" s="17" t="str">
        <x:v>MOBILE_EVENT_FUNNEL</x:v>
      </x:c>
      <x:c r="C109" s="20" t="n">
        <x:v>46151</x:v>
      </x:c>
      <x:c r="D109" s="17" t="str">
        <x:v>Mobile Web</x:v>
      </x:c>
      <x:c r="E109" s="17" t="str">
        <x:v>Mobile</x:v>
      </x:c>
      <x:c r="F109" s="17" t="str">
        <x:v>Search Paid Brand</x:v>
      </x:c>
      <x:c r="G109" s="17" t="n">
        <x:v>28</x:v>
      </x:c>
      <x:c r="H109" s="17" t="str">
        <x:v>APPLE</x:v>
      </x:c>
      <x:c r="I109" s="17" t="str">
        <x:v>Telefon</x:v>
      </x:c>
      <x:c r="J109" s="17" t="str">
        <x:v>Cep Telefonları</x:v>
      </x:c>
      <x:c r="K109" s="17" t="str">
        <x:v>APPLE iPhone 17 Pro Max 512 GB Akıllı Telefon Kozmik Turuncu MFYT4TU/A</x:v>
      </x:c>
      <x:c r="L109" s="17" t="str">
        <x:v>1249256</x:v>
      </x:c>
      <x:c r="M109" s="22" t="n">
        <x:v>91659</x:v>
      </x:c>
      <x:c r="N109" s="26" t="n">
        <x:v>24.2</x:v>
      </x:c>
      <x:c r="O109" s="22" t="n">
        <x:v>56</x:v>
      </x:c>
      <x:c r="P109" s="22" t="n">
        <x:v>66</x:v>
      </x:c>
      <x:c r="Q109" s="22" t="n">
        <x:v>0</x:v>
      </x:c>
      <x:c r="R109" s="17" t="n">
        <x:v>10</x:v>
      </x:c>
      <x:c r="S109" s="22" t="n">
        <x:v>24</x:v>
      </x:c>
      <x:c r="T109" s="24" t="n">
        <x:v>1.8</x:v>
      </x:c>
      <x:c r="U109" s="24" t="n">
        <x:f>IFERROR(O109/T109,0)</x:f>
        <x:v>31.11111111111111</x:v>
      </x:c>
      <x:c r="V109" s="17" t="str">
        <x:f>IF(O109&lt;=0,"out_of_stock",IF(U109&lt;7,"critical_low_stock",IF(U109&gt;60,"overstock","in_stock")))</x:f>
        <x:v>in_stock</x:v>
      </x:c>
      <x:c r="W109" s="17" t="str">
        <x:f>IF(O109&lt;=0,"OOS",IF(AND(U109&lt;7,AC109&gt;=0.5),"High Risk",IF(U109&lt;14,"Medium Risk",IF(U109&gt;60,"Overstock","Healthy"))))</x:f>
        <x:v>Healthy</x:v>
      </x:c>
      <x:c r="X109" s="22" t="n">
        <x:v>729</x:v>
      </x:c>
      <x:c r="Y109" s="22" t="n">
        <x:v>62</x:v>
      </x:c>
      <x:c r="Z109" s="22" t="n">
        <x:v>3</x:v>
      </x:c>
      <x:c r="AA109" s="24" t="n">
        <x:f>IFERROR(Y109/X109*100,0)</x:f>
        <x:v>8.50480109739369</x:v>
      </x:c>
      <x:c r="AB109" s="26" t="n">
        <x:v>-66.6</x:v>
      </x:c>
      <x:c r="AC109" s="24" t="n">
        <x:f>IFERROR(Z109/X109*100,0)</x:f>
        <x:v>0.411522633744856</x:v>
      </x:c>
      <x:c r="AD109" s="26" t="n">
        <x:v>-41.2</x:v>
      </x:c>
      <x:c r="AE109" s="22" t="n">
        <x:f>IFERROR(Z109*M109,0)</x:f>
        <x:v>274977</x:v>
      </x:c>
      <x:c r="AF109" s="26" t="n">
        <x:v>-25.8</x:v>
      </x:c>
      <x:c r="AG109" s="24" t="n">
        <x:v>68.8</x:v>
      </x:c>
      <x:c r="AH109" s="26" t="n">
        <x:v>8.7</x:v>
      </x:c>
      <x:c r="AI109" s="22" t="n">
        <x:v>46</x:v>
      </x:c>
      <x:c r="AJ109" s="22" t="n">
        <x:v>21</x:v>
      </x:c>
      <x:c r="AK109" s="22" t="n">
        <x:v>11</x:v>
      </x:c>
      <x:c r="AL109" s="22" t="n">
        <x:v>8</x:v>
      </x:c>
      <x:c r="AM109" s="22" t="n">
        <x:v>6</x:v>
      </x:c>
      <x:c r="AN109" s="24" t="n">
        <x:f>IFERROR(AI109/X109*100,0)</x:f>
        <x:v>6.310013717421124</x:v>
      </x:c>
      <x:c r="AO109" s="24" t="n">
        <x:f>IFERROR(AJ109/X109*100,0)</x:f>
        <x:v>2.880658436213992</x:v>
      </x:c>
      <x:c r="AP109" s="24" t="n">
        <x:f>IFERROR(AK109/X109*100,0)</x:f>
        <x:v>1.5089163237311385</x:v>
      </x:c>
      <x:c r="AQ109" s="24" t="n">
        <x:f>IFERROR(AL109/X109*100,0)</x:f>
        <x:v>1.0973936899862824</x:v>
      </x:c>
      <x:c r="AR109" s="24" t="n">
        <x:f>IFERROR(AM109/X109*100,0)</x:f>
        <x:v>0.823045267489712</x:v>
      </x:c>
      <x:c r="AS109" s="24" t="n">
        <x:f>IFERROR(Z109/X109*100,0)</x:f>
        <x:v>0.411522633744856</x:v>
      </x:c>
      <x:c r="AT109" s="26" t="n">
        <x:v>-3.5</x:v>
      </x:c>
      <x:c r="AU109" s="26" t="n">
        <x:v>-66.6</x:v>
      </x:c>
      <x:c r="AV109" s="26" t="n">
        <x:v>-5.6</x:v>
      </x:c>
      <x:c r="AW109" s="26" t="n">
        <x:v>6.9</x:v>
      </x:c>
      <x:c r="AX109" s="26" t="n">
        <x:v>-40</x:v>
      </x:c>
      <x:c r="AY109" s="26" t="n">
        <x:v>-9.1</x:v>
      </x:c>
      <x:c r="AZ109" s="26" t="n">
        <x:v>-42.9</x:v>
      </x:c>
      <x:c r="BA109" s="26" t="n">
        <x:v>-41.2</x:v>
      </x:c>
      <x:c r="BB109" s="22" t="n">
        <x:f>IFERROR(AE109/Z109,0)</x:f>
        <x:v>91659</x:v>
      </x:c>
      <x:c r="BC109" s="17" t="n">
        <x:f>IF(OR(V109="out_of_stock",V109="critical_low_stock"),MAX(0,(14-U109)*T109),0)</x:f>
        <x:v>0</x:v>
      </x:c>
      <x:c r="BD109" s="22" t="n">
        <x:f>IFERROR(BC109*M109,0)</x:f>
        <x:v>0</x:v>
      </x:c>
      <x:c r="BE109" s="17" t="str">
        <x:v>mobile_funnel_behavior</x:v>
      </x:c>
      <x:c r="BF109" s="17" t="str">
        <x:v>inspired_by_uploaded_mobile_funnel_screenshot + copied_product_context</x:v>
      </x:c>
    </x:row>
    <x:row r="110">
      <x:c r="A110" s="17" t="n">
        <x:v>109</x:v>
      </x:c>
      <x:c r="B110" s="17" t="str">
        <x:v>MOBILE_EVENT_FUNNEL</x:v>
      </x:c>
      <x:c r="C110" s="20" t="n">
        <x:v>46152</x:v>
      </x:c>
      <x:c r="D110" s="17" t="str">
        <x:v>Mobile Web</x:v>
      </x:c>
      <x:c r="E110" s="17" t="str">
        <x:v>Mobile</x:v>
      </x:c>
      <x:c r="F110" s="17" t="str">
        <x:v>Price Comparison</x:v>
      </x:c>
      <x:c r="G110" s="17" t="n">
        <x:v>28</x:v>
      </x:c>
      <x:c r="H110" s="17" t="str">
        <x:v>APPLE</x:v>
      </x:c>
      <x:c r="I110" s="17" t="str">
        <x:v>Telefon</x:v>
      </x:c>
      <x:c r="J110" s="17" t="str">
        <x:v>Cep Telefonları</x:v>
      </x:c>
      <x:c r="K110" s="17" t="str">
        <x:v>APPLE iPhone 16 128 GB Akıllı Telefon Laciverttaş MYEC3TU/A</x:v>
      </x:c>
      <x:c r="L110" s="17" t="str">
        <x:v>1239562</x:v>
      </x:c>
      <x:c r="M110" s="22" t="n">
        <x:v>57906</x:v>
      </x:c>
      <x:c r="N110" s="26" t="n">
        <x:v>-10.4</x:v>
      </x:c>
      <x:c r="O110" s="22" t="n">
        <x:v>353</x:v>
      </x:c>
      <x:c r="P110" s="22" t="n">
        <x:v>371</x:v>
      </x:c>
      <x:c r="Q110" s="22" t="n">
        <x:v>0</x:v>
      </x:c>
      <x:c r="R110" s="17" t="n">
        <x:v>14</x:v>
      </x:c>
      <x:c r="S110" s="22" t="n">
        <x:v>57</x:v>
      </x:c>
      <x:c r="T110" s="24" t="n">
        <x:v>3.3</x:v>
      </x:c>
      <x:c r="U110" s="24" t="n">
        <x:f>IFERROR(O110/T110,0)</x:f>
        <x:v>106.96969696969697</x:v>
      </x:c>
      <x:c r="V110" s="17" t="str">
        <x:f>IF(O110&lt;=0,"out_of_stock",IF(U110&lt;7,"critical_low_stock",IF(U110&gt;60,"overstock","in_stock")))</x:f>
        <x:v>overstock</x:v>
      </x:c>
      <x:c r="W110" s="17" t="str">
        <x:f>IF(O110&lt;=0,"OOS",IF(AND(U110&lt;7,AC110&gt;=0.5),"High Risk",IF(U110&lt;14,"Medium Risk",IF(U110&gt;60,"Overstock","Healthy"))))</x:f>
        <x:v>Overstock</x:v>
      </x:c>
      <x:c r="X110" s="22" t="n">
        <x:v>3111</x:v>
      </x:c>
      <x:c r="Y110" s="22" t="n">
        <x:v>291</x:v>
      </x:c>
      <x:c r="Z110" s="22" t="n">
        <x:v>19</x:v>
      </x:c>
      <x:c r="AA110" s="24" t="n">
        <x:f>IFERROR(Y110/X110*100,0)</x:f>
        <x:v>9.35390549662488</x:v>
      </x:c>
      <x:c r="AB110" s="26" t="n">
        <x:v>-37</x:v>
      </x:c>
      <x:c r="AC110" s="24" t="n">
        <x:f>IFERROR(Z110/X110*100,0)</x:f>
        <x:v>0.6107360977177756</x:v>
      </x:c>
      <x:c r="AD110" s="26" t="n">
        <x:v>4.5</x:v>
      </x:c>
      <x:c r="AE110" s="22" t="n">
        <x:f>IFERROR(Z110*M110,0)</x:f>
        <x:v>1100214</x:v>
      </x:c>
      <x:c r="AF110" s="26" t="n">
        <x:v>-1.9</x:v>
      </x:c>
      <x:c r="AG110" s="24" t="n">
        <x:v>66.9</x:v>
      </x:c>
      <x:c r="AH110" s="26" t="n">
        <x:v>9.1</x:v>
      </x:c>
      <x:c r="AI110" s="22" t="n">
        <x:v>224</x:v>
      </x:c>
      <x:c r="AJ110" s="22" t="n">
        <x:v>113</x:v>
      </x:c>
      <x:c r="AK110" s="22" t="n">
        <x:v>96</x:v>
      </x:c>
      <x:c r="AL110" s="22" t="n">
        <x:v>70</x:v>
      </x:c>
      <x:c r="AM110" s="22" t="n">
        <x:v>54</x:v>
      </x:c>
      <x:c r="AN110" s="24" t="n">
        <x:f>IFERROR(AI110/X110*100,0)</x:f>
        <x:v>7.200257152041144</x:v>
      </x:c>
      <x:c r="AO110" s="24" t="n">
        <x:f>IFERROR(AJ110/X110*100,0)</x:f>
        <x:v>3.6322725811636127</x:v>
      </x:c>
      <x:c r="AP110" s="24" t="n">
        <x:f>IFERROR(AK110/X110*100,0)</x:f>
        <x:v>3.085824493731919</x:v>
      </x:c>
      <x:c r="AQ110" s="24" t="n">
        <x:f>IFERROR(AL110/X110*100,0)</x:f>
        <x:v>2.2500803600128574</x:v>
      </x:c>
      <x:c r="AR110" s="24" t="n">
        <x:f>IFERROR(AM110/X110*100,0)</x:f>
        <x:v>1.7357762777242043</x:v>
      </x:c>
      <x:c r="AS110" s="24" t="n">
        <x:f>IFERROR(Z110/X110*100,0)</x:f>
        <x:v>0.6107360977177756</x:v>
      </x:c>
      <x:c r="AT110" s="26" t="n">
        <x:v>24</x:v>
      </x:c>
      <x:c r="AU110" s="26" t="n">
        <x:v>-37</x:v>
      </x:c>
      <x:c r="AV110" s="26" t="n">
        <x:v>-28.9</x:v>
      </x:c>
      <x:c r="AW110" s="26" t="n">
        <x:v>-32.1</x:v>
      </x:c>
      <x:c r="AX110" s="26" t="n">
        <x:v>-3.9</x:v>
      </x:c>
      <x:c r="AY110" s="26" t="n">
        <x:v>-34</x:v>
      </x:c>
      <x:c r="AZ110" s="26" t="n">
        <x:v>-22.9</x:v>
      </x:c>
      <x:c r="BA110" s="26" t="n">
        <x:v>4.5</x:v>
      </x:c>
      <x:c r="BB110" s="22" t="n">
        <x:f>IFERROR(AE110/Z110,0)</x:f>
        <x:v>57906</x:v>
      </x:c>
      <x:c r="BC110" s="17" t="n">
        <x:f>IF(OR(V110="out_of_stock",V110="critical_low_stock"),MAX(0,(14-U110)*T110),0)</x:f>
        <x:v>0</x:v>
      </x:c>
      <x:c r="BD110" s="22" t="n">
        <x:f>IFERROR(BC110*M110,0)</x:f>
        <x:v>0</x:v>
      </x:c>
      <x:c r="BE110" s="17" t="str">
        <x:v>mobile_funnel_behavior</x:v>
      </x:c>
      <x:c r="BF110" s="17" t="str">
        <x:v>inspired_by_uploaded_mobile_funnel_screenshot + copied_product_context</x:v>
      </x:c>
    </x:row>
    <x:row r="111">
      <x:c r="A111" s="17" t="n">
        <x:v>110</x:v>
      </x:c>
      <x:c r="B111" s="17" t="str">
        <x:v>MOBILE_EVENT_FUNNEL</x:v>
      </x:c>
      <x:c r="C111" s="20" t="n">
        <x:v>46153</x:v>
      </x:c>
      <x:c r="D111" s="17" t="str">
        <x:v>Mobile Web</x:v>
      </x:c>
      <x:c r="E111" s="17" t="str">
        <x:v>Mobile</x:v>
      </x:c>
      <x:c r="F111" s="17" t="str">
        <x:v>Search Paid Generic</x:v>
      </x:c>
      <x:c r="G111" s="17" t="n">
        <x:v>24</x:v>
      </x:c>
      <x:c r="H111" s="17" t="str">
        <x:v>APPLE</x:v>
      </x:c>
      <x:c r="I111" s="17" t="str">
        <x:v>Bilgisayar</x:v>
      </x:c>
      <x:c r="J111" s="17" t="str">
        <x:v>Tabletler</x:v>
      </x:c>
      <x:c r="K111" s="17" t="str">
        <x:v>APPLE iPad (A16) Wi-Fi 128 GB Tablet Gümüş MD3Y4TU/A</x:v>
      </x:c>
      <x:c r="L111" s="17" t="str">
        <x:v>1245605</x:v>
      </x:c>
      <x:c r="M111" s="22" t="n">
        <x:v>41844</x:v>
      </x:c>
      <x:c r="N111" s="26" t="n">
        <x:v>13.8</x:v>
      </x:c>
      <x:c r="O111" s="22" t="n">
        <x:v>269</x:v>
      </x:c>
      <x:c r="P111" s="22" t="n">
        <x:v>400</x:v>
      </x:c>
      <x:c r="Q111" s="22" t="n">
        <x:v>0</x:v>
      </x:c>
      <x:c r="R111" s="17" t="n">
        <x:v>5</x:v>
      </x:c>
      <x:c r="S111" s="22" t="n">
        <x:v>7</x:v>
      </x:c>
      <x:c r="T111" s="24" t="n">
        <x:v>0.8</x:v>
      </x:c>
      <x:c r="U111" s="24" t="n">
        <x:f>IFERROR(O111/T111,0)</x:f>
        <x:v>336.25</x:v>
      </x:c>
      <x:c r="V111" s="17" t="str">
        <x:f>IF(O111&lt;=0,"out_of_stock",IF(U111&lt;7,"critical_low_stock",IF(U111&gt;60,"overstock","in_stock")))</x:f>
        <x:v>overstock</x:v>
      </x:c>
      <x:c r="W111" s="17" t="str">
        <x:f>IF(O111&lt;=0,"OOS",IF(AND(U111&lt;7,AC111&gt;=0.5),"High Risk",IF(U111&lt;14,"Medium Risk",IF(U111&gt;60,"Overstock","Healthy"))))</x:f>
        <x:v>Overstock</x:v>
      </x:c>
      <x:c r="X111" s="22" t="n">
        <x:v>465</x:v>
      </x:c>
      <x:c r="Y111" s="22" t="n">
        <x:v>18</x:v>
      </x:c>
      <x:c r="Z111" s="22" t="n">
        <x:v>1</x:v>
      </x:c>
      <x:c r="AA111" s="24" t="n">
        <x:f>IFERROR(Y111/X111*100,0)</x:f>
        <x:v>3.870967741935484</x:v>
      </x:c>
      <x:c r="AB111" s="26" t="n">
        <x:v>-2.5</x:v>
      </x:c>
      <x:c r="AC111" s="24" t="n">
        <x:f>IFERROR(Z111/X111*100,0)</x:f>
        <x:v>0.21505376344086022</x:v>
      </x:c>
      <x:c r="AD111" s="26" t="n">
        <x:v>-23.6</x:v>
      </x:c>
      <x:c r="AE111" s="22" t="n">
        <x:f>IFERROR(Z111*M111,0)</x:f>
        <x:v>41844</x:v>
      </x:c>
      <x:c r="AF111" s="26" t="n">
        <x:v>-5.7</x:v>
      </x:c>
      <x:c r="AG111" s="24" t="n">
        <x:v>45.5</x:v>
      </x:c>
      <x:c r="AH111" s="26" t="n">
        <x:v>13.5</x:v>
      </x:c>
      <x:c r="AI111" s="22" t="n">
        <x:v>8</x:v>
      </x:c>
      <x:c r="AJ111" s="22" t="n">
        <x:v>3</x:v>
      </x:c>
      <x:c r="AK111" s="22" t="n">
        <x:v>2</x:v>
      </x:c>
      <x:c r="AL111" s="22" t="n">
        <x:v>2</x:v>
      </x:c>
      <x:c r="AM111" s="22" t="n">
        <x:v>1</x:v>
      </x:c>
      <x:c r="AN111" s="24" t="n">
        <x:f>IFERROR(AI111/X111*100,0)</x:f>
        <x:v>1.7204301075268817</x:v>
      </x:c>
      <x:c r="AO111" s="24" t="n">
        <x:f>IFERROR(AJ111/X111*100,0)</x:f>
        <x:v>0.6451612903225806</x:v>
      </x:c>
      <x:c r="AP111" s="24" t="n">
        <x:f>IFERROR(AK111/X111*100,0)</x:f>
        <x:v>0.43010752688172044</x:v>
      </x:c>
      <x:c r="AQ111" s="24" t="n">
        <x:f>IFERROR(AL111/X111*100,0)</x:f>
        <x:v>0.43010752688172044</x:v>
      </x:c>
      <x:c r="AR111" s="24" t="n">
        <x:f>IFERROR(AM111/X111*100,0)</x:f>
        <x:v>0.21505376344086022</x:v>
      </x:c>
      <x:c r="AS111" s="24" t="n">
        <x:f>IFERROR(Z111/X111*100,0)</x:f>
        <x:v>0.21505376344086022</x:v>
      </x:c>
      <x:c r="AT111" s="26" t="n">
        <x:v>46.2</x:v>
      </x:c>
      <x:c r="AU111" s="26" t="n">
        <x:v>-2.5</x:v>
      </x:c>
      <x:c r="AV111" s="26" t="n">
        <x:v>-28.7</x:v>
      </x:c>
      <x:c r="AW111" s="26" t="n">
        <x:v>-41.2</x:v>
      </x:c>
      <x:c r="AX111" s="26" t="n">
        <x:v>-14.5</x:v>
      </x:c>
      <x:c r="AY111" s="26" t="n">
        <x:v>-2.2</x:v>
      </x:c>
      <x:c r="AZ111" s="26" t="n">
        <x:v>-43.3</x:v>
      </x:c>
      <x:c r="BA111" s="26" t="n">
        <x:v>-23.6</x:v>
      </x:c>
      <x:c r="BB111" s="22" t="n">
        <x:f>IFERROR(AE111/Z111,0)</x:f>
        <x:v>41844</x:v>
      </x:c>
      <x:c r="BC111" s="17" t="n">
        <x:f>IF(OR(V111="out_of_stock",V111="critical_low_stock"),MAX(0,(14-U111)*T111),0)</x:f>
        <x:v>0</x:v>
      </x:c>
      <x:c r="BD111" s="22" t="n">
        <x:f>IFERROR(BC111*M111,0)</x:f>
        <x:v>0</x:v>
      </x:c>
      <x:c r="BE111" s="17" t="str">
        <x:v>mobile_funnel_behavior</x:v>
      </x:c>
      <x:c r="BF111" s="17" t="str">
        <x:v>inspired_by_uploaded_mobile_funnel_screenshot + copied_product_context</x:v>
      </x:c>
    </x:row>
    <x:row r="112">
      <x:c r="A112" s="17" t="n">
        <x:v>111</x:v>
      </x:c>
      <x:c r="B112" s="17" t="str">
        <x:v>MOBILE_EVENT_FUNNEL</x:v>
      </x:c>
      <x:c r="C112" s="20" t="n">
        <x:v>46154</x:v>
      </x:c>
      <x:c r="D112" s="17" t="str">
        <x:v>Mobile Web</x:v>
      </x:c>
      <x:c r="E112" s="17" t="str">
        <x:v>Mobile</x:v>
      </x:c>
      <x:c r="F112" s="17" t="str">
        <x:v>Search Organic Generic</x:v>
      </x:c>
      <x:c r="G112" s="17" t="n">
        <x:v>28</x:v>
      </x:c>
      <x:c r="H112" s="17" t="str">
        <x:v>APPLE</x:v>
      </x:c>
      <x:c r="I112" s="17" t="str">
        <x:v>Telefon</x:v>
      </x:c>
      <x:c r="J112" s="17" t="str">
        <x:v>Cep Telefonları</x:v>
      </x:c>
      <x:c r="K112" s="17" t="str">
        <x:v>APPLE iPhone 14 Pro Max 512GB Akıllı Telefon Silver MQAH3TU/A</x:v>
      </x:c>
      <x:c r="L112" s="17" t="str">
        <x:v>1223411</x:v>
      </x:c>
      <x:c r="M112" s="22" t="n">
        <x:v>89155</x:v>
      </x:c>
      <x:c r="N112" s="26" t="n">
        <x:v>20.4</x:v>
      </x:c>
      <x:c r="O112" s="22" t="n">
        <x:v>10</x:v>
      </x:c>
      <x:c r="P112" s="22" t="n">
        <x:v>5</x:v>
      </x:c>
      <x:c r="Q112" s="22" t="n">
        <x:v>19</x:v>
      </x:c>
      <x:c r="R112" s="17" t="n">
        <x:v>3</x:v>
      </x:c>
      <x:c r="S112" s="22" t="n">
        <x:v>15</x:v>
      </x:c>
      <x:c r="T112" s="24" t="n">
        <x:v>2.5</x:v>
      </x:c>
      <x:c r="U112" s="24" t="n">
        <x:f>IFERROR(O112/T112,0)</x:f>
        <x:v>4</x:v>
      </x:c>
      <x:c r="V112" s="17" t="str">
        <x:f>IF(O112&lt;=0,"out_of_stock",IF(U112&lt;7,"critical_low_stock",IF(U112&gt;60,"overstock","in_stock")))</x:f>
        <x:v>critical_low_stock</x:v>
      </x:c>
      <x:c r="W112" s="17" t="str">
        <x:f>IF(O112&lt;=0,"OOS",IF(AND(U112&lt;7,AC112&gt;=0.5),"High Risk",IF(U112&lt;14,"Medium Risk",IF(U112&gt;60,"Overstock","Healthy"))))</x:f>
        <x:v>High Risk</x:v>
      </x:c>
      <x:c r="X112" s="22" t="n">
        <x:v>711</x:v>
      </x:c>
      <x:c r="Y112" s="22" t="n">
        <x:v>65</x:v>
      </x:c>
      <x:c r="Z112" s="22" t="n">
        <x:v>10</x:v>
      </x:c>
      <x:c r="AA112" s="24" t="n">
        <x:f>IFERROR(Y112/X112*100,0)</x:f>
        <x:v>9.142053445850914</x:v>
      </x:c>
      <x:c r="AB112" s="26" t="n">
        <x:v>4</x:v>
      </x:c>
      <x:c r="AC112" s="24" t="n">
        <x:f>IFERROR(Z112/X112*100,0)</x:f>
        <x:v>1.4064697609001406</x:v>
      </x:c>
      <x:c r="AD112" s="26" t="n">
        <x:v>-92.2</x:v>
      </x:c>
      <x:c r="AE112" s="22" t="n">
        <x:f>IFERROR(Z112*M112,0)</x:f>
        <x:v>891550</x:v>
      </x:c>
      <x:c r="AF112" s="26" t="n">
        <x:v>-75.8</x:v>
      </x:c>
      <x:c r="AG112" s="24" t="n">
        <x:v>54</x:v>
      </x:c>
      <x:c r="AH112" s="26" t="n">
        <x:v>9.1</x:v>
      </x:c>
      <x:c r="AI112" s="22" t="n">
        <x:v>35</x:v>
      </x:c>
      <x:c r="AJ112" s="22" t="n">
        <x:v>28</x:v>
      </x:c>
      <x:c r="AK112" s="22" t="n">
        <x:v>25</x:v>
      </x:c>
      <x:c r="AL112" s="22" t="n">
        <x:v>24</x:v>
      </x:c>
      <x:c r="AM112" s="22" t="n">
        <x:v>21</x:v>
      </x:c>
      <x:c r="AN112" s="24" t="n">
        <x:f>IFERROR(AI112/X112*100,0)</x:f>
        <x:v>4.922644163150492</x:v>
      </x:c>
      <x:c r="AO112" s="24" t="n">
        <x:f>IFERROR(AJ112/X112*100,0)</x:f>
        <x:v>3.938115330520394</x:v>
      </x:c>
      <x:c r="AP112" s="24" t="n">
        <x:f>IFERROR(AK112/X112*100,0)</x:f>
        <x:v>3.5161744022503516</x:v>
      </x:c>
      <x:c r="AQ112" s="24" t="n">
        <x:f>IFERROR(AL112/X112*100,0)</x:f>
        <x:v>3.375527426160337</x:v>
      </x:c>
      <x:c r="AR112" s="24" t="n">
        <x:f>IFERROR(AM112/X112*100,0)</x:f>
        <x:v>2.9535864978902953</x:v>
      </x:c>
      <x:c r="AS112" s="24" t="n">
        <x:f>IFERROR(Z112/X112*100,0)</x:f>
        <x:v>1.4064697609001406</x:v>
      </x:c>
      <x:c r="AT112" s="26" t="n">
        <x:v>18.2</x:v>
      </x:c>
      <x:c r="AU112" s="26" t="n">
        <x:v>4</x:v>
      </x:c>
      <x:c r="AV112" s="26" t="n">
        <x:v>-8</x:v>
      </x:c>
      <x:c r="AW112" s="26" t="n">
        <x:v>-33</x:v>
      </x:c>
      <x:c r="AX112" s="26" t="n">
        <x:v>20.6</x:v>
      </x:c>
      <x:c r="AY112" s="26" t="n">
        <x:v>14.3</x:v>
      </x:c>
      <x:c r="AZ112" s="26" t="n">
        <x:v>-0.2</x:v>
      </x:c>
      <x:c r="BA112" s="26" t="n">
        <x:v>-92.2</x:v>
      </x:c>
      <x:c r="BB112" s="22" t="n">
        <x:f>IFERROR(AE112/Z112,0)</x:f>
        <x:v>89155</x:v>
      </x:c>
      <x:c r="BC112" s="17" t="n">
        <x:f>IF(OR(V112="out_of_stock",V112="critical_low_stock"),MAX(0,(14-U112)*T112),0)</x:f>
        <x:v>25</x:v>
      </x:c>
      <x:c r="BD112" s="22" t="n">
        <x:f>IFERROR(BC112*M112,0)</x:f>
        <x:v>2228875</x:v>
      </x:c>
      <x:c r="BE112" s="17" t="str">
        <x:v>mobile_funnel_behavior</x:v>
      </x:c>
      <x:c r="BF112" s="17" t="str">
        <x:v>inspired_by_uploaded_mobile_funnel_screenshot + copied_product_context</x:v>
      </x:c>
    </x:row>
    <x:row r="113">
      <x:c r="A113" s="17" t="n">
        <x:v>112</x:v>
      </x:c>
      <x:c r="B113" s="17" t="str">
        <x:v>MOBILE_EVENT_FUNNEL</x:v>
      </x:c>
      <x:c r="C113" s="20" t="n">
        <x:v>46155</x:v>
      </x:c>
      <x:c r="D113" s="17" t="str">
        <x:v>Mobile Web</x:v>
      </x:c>
      <x:c r="E113" s="17" t="str">
        <x:v>Mobile</x:v>
      </x:c>
      <x:c r="F113" s="17" t="str">
        <x:v>Search Organic Brand</x:v>
      </x:c>
      <x:c r="G113" s="17" t="n">
        <x:v>34</x:v>
      </x:c>
      <x:c r="H113" s="17" t="str">
        <x:v>ROBOROCK</x:v>
      </x:c>
      <x:c r="I113" s="17" t="str">
        <x:v>Ev Aletleri &amp; Yaşam</x:v>
      </x:c>
      <x:c r="J113" s="17" t="str">
        <x:v>Süpürgeler</x:v>
      </x:c>
      <x:c r="K113" s="17" t="str">
        <x:v>ROBOROCK S8 Pro Robot Süpürge Beyaz</x:v>
      </x:c>
      <x:c r="L113" s="17" t="str">
        <x:v>1246707</x:v>
      </x:c>
      <x:c r="M113" s="22" t="n">
        <x:v>39565</x:v>
      </x:c>
      <x:c r="N113" s="26" t="n">
        <x:v>22.6</x:v>
      </x:c>
      <x:c r="O113" s="22" t="n">
        <x:v>40</x:v>
      </x:c>
      <x:c r="P113" s="22" t="n">
        <x:v>51</x:v>
      </x:c>
      <x:c r="Q113" s="22" t="n">
        <x:v>0</x:v>
      </x:c>
      <x:c r="R113" s="17" t="n">
        <x:v>7</x:v>
      </x:c>
      <x:c r="S113" s="22" t="n">
        <x:v>5</x:v>
      </x:c>
      <x:c r="T113" s="24" t="n">
        <x:v>0.5</x:v>
      </x:c>
      <x:c r="U113" s="24" t="n">
        <x:f>IFERROR(O113/T113,0)</x:f>
        <x:v>80</x:v>
      </x:c>
      <x:c r="V113" s="17" t="str">
        <x:f>IF(O113&lt;=0,"out_of_stock",IF(U113&lt;7,"critical_low_stock",IF(U113&gt;60,"overstock","in_stock")))</x:f>
        <x:v>overstock</x:v>
      </x:c>
      <x:c r="W113" s="17" t="str">
        <x:f>IF(O113&lt;=0,"OOS",IF(AND(U113&lt;7,AC113&gt;=0.5),"High Risk",IF(U113&lt;14,"Medium Risk",IF(U113&gt;60,"Overstock","Healthy"))))</x:f>
        <x:v>Overstock</x:v>
      </x:c>
      <x:c r="X113" s="22" t="n">
        <x:v>643</x:v>
      </x:c>
      <x:c r="Y113" s="22" t="n">
        <x:v>19</x:v>
      </x:c>
      <x:c r="Z113" s="22" t="n">
        <x:v>2</x:v>
      </x:c>
      <x:c r="AA113" s="24" t="n">
        <x:f>IFERROR(Y113/X113*100,0)</x:f>
        <x:v>2.9548989113530326</x:v>
      </x:c>
      <x:c r="AB113" s="26" t="n">
        <x:v>-77.2</x:v>
      </x:c>
      <x:c r="AC113" s="24" t="n">
        <x:f>IFERROR(Z113/X113*100,0)</x:f>
        <x:v>0.3110419906687403</x:v>
      </x:c>
      <x:c r="AD113" s="26" t="n">
        <x:v>7.7</x:v>
      </x:c>
      <x:c r="AE113" s="22" t="n">
        <x:f>IFERROR(Z113*M113,0)</x:f>
        <x:v>79130</x:v>
      </x:c>
      <x:c r="AF113" s="26" t="n">
        <x:v>27.8</x:v>
      </x:c>
      <x:c r="AG113" s="24" t="n">
        <x:v>56.2</x:v>
      </x:c>
      <x:c r="AH113" s="26" t="n">
        <x:v>8</x:v>
      </x:c>
      <x:c r="AI113" s="22" t="n">
        <x:v>10</x:v>
      </x:c>
      <x:c r="AJ113" s="22" t="n">
        <x:v>7</x:v>
      </x:c>
      <x:c r="AK113" s="22" t="n">
        <x:v>4</x:v>
      </x:c>
      <x:c r="AL113" s="22" t="n">
        <x:v>4</x:v>
      </x:c>
      <x:c r="AM113" s="22" t="n">
        <x:v>3</x:v>
      </x:c>
      <x:c r="AN113" s="24" t="n">
        <x:f>IFERROR(AI113/X113*100,0)</x:f>
        <x:v>1.5552099533437014</x:v>
      </x:c>
      <x:c r="AO113" s="24" t="n">
        <x:f>IFERROR(AJ113/X113*100,0)</x:f>
        <x:v>1.088646967340591</x:v>
      </x:c>
      <x:c r="AP113" s="24" t="n">
        <x:f>IFERROR(AK113/X113*100,0)</x:f>
        <x:v>0.6220839813374806</x:v>
      </x:c>
      <x:c r="AQ113" s="24" t="n">
        <x:f>IFERROR(AL113/X113*100,0)</x:f>
        <x:v>0.6220839813374806</x:v>
      </x:c>
      <x:c r="AR113" s="24" t="n">
        <x:f>IFERROR(AM113/X113*100,0)</x:f>
        <x:v>0.46656298600311047</x:v>
      </x:c>
      <x:c r="AS113" s="24" t="n">
        <x:f>IFERROR(Z113/X113*100,0)</x:f>
        <x:v>0.3110419906687403</x:v>
      </x:c>
      <x:c r="AT113" s="26" t="n">
        <x:v>-27</x:v>
      </x:c>
      <x:c r="AU113" s="26" t="n">
        <x:v>-77.2</x:v>
      </x:c>
      <x:c r="AV113" s="26" t="n">
        <x:v>-41.4</x:v>
      </x:c>
      <x:c r="AW113" s="26" t="n">
        <x:v>2.7</x:v>
      </x:c>
      <x:c r="AX113" s="26" t="n">
        <x:v>4.1</x:v>
      </x:c>
      <x:c r="AY113" s="26" t="n">
        <x:v>-31.3</x:v>
      </x:c>
      <x:c r="AZ113" s="26" t="n">
        <x:v>-14.9</x:v>
      </x:c>
      <x:c r="BA113" s="26" t="n">
        <x:v>7.7</x:v>
      </x:c>
      <x:c r="BB113" s="22" t="n">
        <x:f>IFERROR(AE113/Z113,0)</x:f>
        <x:v>39565</x:v>
      </x:c>
      <x:c r="BC113" s="17" t="n">
        <x:f>IF(OR(V113="out_of_stock",V113="critical_low_stock"),MAX(0,(14-U113)*T113),0)</x:f>
        <x:v>0</x:v>
      </x:c>
      <x:c r="BD113" s="22" t="n">
        <x:f>IFERROR(BC113*M113,0)</x:f>
        <x:v>0</x:v>
      </x:c>
      <x:c r="BE113" s="17" t="str">
        <x:v>mobile_funnel_behavior</x:v>
      </x:c>
      <x:c r="BF113" s="17" t="str">
        <x:v>inspired_by_uploaded_mobile_funnel_screenshot + copied_product_context</x:v>
      </x:c>
    </x:row>
    <x:row r="114">
      <x:c r="A114" s="17" t="n">
        <x:v>113</x:v>
      </x:c>
      <x:c r="B114" s="17" t="str">
        <x:v>MOBILE_EVENT_FUNNEL</x:v>
      </x:c>
      <x:c r="C114" s="20" t="n">
        <x:v>46156</x:v>
      </x:c>
      <x:c r="D114" s="17" t="str">
        <x:v>Mobile Web</x:v>
      </x:c>
      <x:c r="E114" s="17" t="str">
        <x:v>Mobile</x:v>
      </x:c>
      <x:c r="F114" s="17" t="str">
        <x:v>Search Paid Generic</x:v>
      </x:c>
      <x:c r="G114" s="17" t="n">
        <x:v>28</x:v>
      </x:c>
      <x:c r="H114" s="17" t="str">
        <x:v>HONOR</x:v>
      </x:c>
      <x:c r="I114" s="17" t="str">
        <x:v>Telefon</x:v>
      </x:c>
      <x:c r="J114" s="17" t="str">
        <x:v>Cep Telefonları</x:v>
      </x:c>
      <x:c r="K114" s="17" t="str">
        <x:v>HONOR Magic 8 Pro 12/512GB Akıllı Telefon Siyah</x:v>
      </x:c>
      <x:c r="L114" s="17" t="str">
        <x:v>1251989</x:v>
      </x:c>
      <x:c r="M114" s="22" t="n">
        <x:v>18297</x:v>
      </x:c>
      <x:c r="N114" s="26" t="n">
        <x:v>-17.3</x:v>
      </x:c>
      <x:c r="O114" s="22" t="n">
        <x:v>97</x:v>
      </x:c>
      <x:c r="P114" s="22" t="n">
        <x:v>62</x:v>
      </x:c>
      <x:c r="Q114" s="22" t="n">
        <x:v>0</x:v>
      </x:c>
      <x:c r="R114" s="17" t="n">
        <x:v>3</x:v>
      </x:c>
      <x:c r="S114" s="22" t="n">
        <x:v>3</x:v>
      </x:c>
      <x:c r="T114" s="24" t="n">
        <x:v>0.5</x:v>
      </x:c>
      <x:c r="U114" s="24" t="n">
        <x:f>IFERROR(O114/T114,0)</x:f>
        <x:v>194</x:v>
      </x:c>
      <x:c r="V114" s="17" t="str">
        <x:f>IF(O114&lt;=0,"out_of_stock",IF(U114&lt;7,"critical_low_stock",IF(U114&gt;60,"overstock","in_stock")))</x:f>
        <x:v>overstock</x:v>
      </x:c>
      <x:c r="W114" s="17" t="str">
        <x:f>IF(O114&lt;=0,"OOS",IF(AND(U114&lt;7,AC114&gt;=0.5),"High Risk",IF(U114&lt;14,"Medium Risk",IF(U114&gt;60,"Overstock","Healthy"))))</x:f>
        <x:v>Overstock</x:v>
      </x:c>
      <x:c r="X114" s="22" t="n">
        <x:v>411</x:v>
      </x:c>
      <x:c r="Y114" s="22" t="n">
        <x:v>27</x:v>
      </x:c>
      <x:c r="Z114" s="22" t="n">
        <x:v>1</x:v>
      </x:c>
      <x:c r="AA114" s="24" t="n">
        <x:f>IFERROR(Y114/X114*100,0)</x:f>
        <x:v>6.569343065693431</x:v>
      </x:c>
      <x:c r="AB114" s="26" t="n">
        <x:v>-24.7</x:v>
      </x:c>
      <x:c r="AC114" s="24" t="n">
        <x:f>IFERROR(Z114/X114*100,0)</x:f>
        <x:v>0.24330900243309003</x:v>
      </x:c>
      <x:c r="AD114" s="26" t="n">
        <x:v>-26.2</x:v>
      </x:c>
      <x:c r="AE114" s="22" t="n">
        <x:f>IFERROR(Z114*M114,0)</x:f>
        <x:v>18297</x:v>
      </x:c>
      <x:c r="AF114" s="26" t="n">
        <x:v>-46.4</x:v>
      </x:c>
      <x:c r="AG114" s="24" t="n">
        <x:v>35.2</x:v>
      </x:c>
      <x:c r="AH114" s="26" t="n">
        <x:v>0</x:v>
      </x:c>
      <x:c r="AI114" s="22" t="n">
        <x:v>21</x:v>
      </x:c>
      <x:c r="AJ114" s="22" t="n">
        <x:v>9</x:v>
      </x:c>
      <x:c r="AK114" s="22" t="n">
        <x:v>5</x:v>
      </x:c>
      <x:c r="AL114" s="22" t="n">
        <x:v>3</x:v>
      </x:c>
      <x:c r="AM114" s="22" t="n">
        <x:v>2</x:v>
      </x:c>
      <x:c r="AN114" s="24" t="n">
        <x:f>IFERROR(AI114/X114*100,0)</x:f>
        <x:v>5.109489051094891</x:v>
      </x:c>
      <x:c r="AO114" s="24" t="n">
        <x:f>IFERROR(AJ114/X114*100,0)</x:f>
        <x:v>2.18978102189781</x:v>
      </x:c>
      <x:c r="AP114" s="24" t="n">
        <x:f>IFERROR(AK114/X114*100,0)</x:f>
        <x:v>1.2165450121654502</x:v>
      </x:c>
      <x:c r="AQ114" s="24" t="n">
        <x:f>IFERROR(AL114/X114*100,0)</x:f>
        <x:v>0.7299270072992701</x:v>
      </x:c>
      <x:c r="AR114" s="24" t="n">
        <x:f>IFERROR(AM114/X114*100,0)</x:f>
        <x:v>0.48661800486618007</x:v>
      </x:c>
      <x:c r="AS114" s="24" t="n">
        <x:f>IFERROR(Z114/X114*100,0)</x:f>
        <x:v>0.24330900243309003</x:v>
      </x:c>
      <x:c r="AT114" s="26" t="n">
        <x:v>-2</x:v>
      </x:c>
      <x:c r="AU114" s="26" t="n">
        <x:v>-24.7</x:v>
      </x:c>
      <x:c r="AV114" s="26" t="n">
        <x:v>-14.2</x:v>
      </x:c>
      <x:c r="AW114" s="26" t="n">
        <x:v>-20.7</x:v>
      </x:c>
      <x:c r="AX114" s="26" t="n">
        <x:v>-21.7</x:v>
      </x:c>
      <x:c r="AY114" s="26" t="n">
        <x:v>-4.8</x:v>
      </x:c>
      <x:c r="AZ114" s="26" t="n">
        <x:v>-21.5</x:v>
      </x:c>
      <x:c r="BA114" s="26" t="n">
        <x:v>-26.2</x:v>
      </x:c>
      <x:c r="BB114" s="22" t="n">
        <x:f>IFERROR(AE114/Z114,0)</x:f>
        <x:v>18297</x:v>
      </x:c>
      <x:c r="BC114" s="17" t="n">
        <x:f>IF(OR(V114="out_of_stock",V114="critical_low_stock"),MAX(0,(14-U114)*T114),0)</x:f>
        <x:v>0</x:v>
      </x:c>
      <x:c r="BD114" s="22" t="n">
        <x:f>IFERROR(BC114*M114,0)</x:f>
        <x:v>0</x:v>
      </x:c>
      <x:c r="BE114" s="17" t="str">
        <x:v>mobile_funnel_behavior</x:v>
      </x:c>
      <x:c r="BF114" s="17" t="str">
        <x:v>inspired_by_uploaded_mobile_funnel_screenshot + copied_product_context</x:v>
      </x:c>
    </x:row>
    <x:row r="115">
      <x:c r="A115" s="17" t="n">
        <x:v>114</x:v>
      </x:c>
      <x:c r="B115" s="17" t="str">
        <x:v>MOBILE_EVENT_FUNNEL</x:v>
      </x:c>
      <x:c r="C115" s="20" t="n">
        <x:v>46143</x:v>
      </x:c>
      <x:c r="D115" s="17" t="str">
        <x:v>Mobile Web</x:v>
      </x:c>
      <x:c r="E115" s="17" t="str">
        <x:v>Mobile</x:v>
      </x:c>
      <x:c r="F115" s="17" t="str">
        <x:v>Search Organic Generic</x:v>
      </x:c>
      <x:c r="G115" s="17" t="n">
        <x:v>28</x:v>
      </x:c>
      <x:c r="H115" s="17" t="str">
        <x:v>SAMSUNG</x:v>
      </x:c>
      <x:c r="I115" s="17" t="str">
        <x:v>Telefon</x:v>
      </x:c>
      <x:c r="J115" s="17" t="str">
        <x:v>Cep Telefonları</x:v>
      </x:c>
      <x:c r="K115" s="17" t="str">
        <x:v>SAMSUNG Galaxy A17 5G 8/256GB Akıllı Telefon Mavi</x:v>
      </x:c>
      <x:c r="L115" s="17" t="str">
        <x:v>1248871</x:v>
      </x:c>
      <x:c r="M115" s="22" t="n">
        <x:v>46231</x:v>
      </x:c>
      <x:c r="N115" s="26" t="n">
        <x:v>-8</x:v>
      </x:c>
      <x:c r="O115" s="22" t="n">
        <x:v>234</x:v>
      </x:c>
      <x:c r="P115" s="22" t="n">
        <x:v>155</x:v>
      </x:c>
      <x:c r="Q115" s="22" t="n">
        <x:v>0</x:v>
      </x:c>
      <x:c r="R115" s="17" t="n">
        <x:v>5</x:v>
      </x:c>
      <x:c r="S115" s="22" t="n">
        <x:v>10</x:v>
      </x:c>
      <x:c r="T115" s="24" t="n">
        <x:v>1.2</x:v>
      </x:c>
      <x:c r="U115" s="24" t="n">
        <x:f>IFERROR(O115/T115,0)</x:f>
        <x:v>195</x:v>
      </x:c>
      <x:c r="V115" s="17" t="str">
        <x:f>IF(O115&lt;=0,"out_of_stock",IF(U115&lt;7,"critical_low_stock",IF(U115&gt;60,"overstock","in_stock")))</x:f>
        <x:v>overstock</x:v>
      </x:c>
      <x:c r="W115" s="17" t="str">
        <x:f>IF(O115&lt;=0,"OOS",IF(AND(U115&lt;7,AC115&gt;=0.5),"High Risk",IF(U115&lt;14,"Medium Risk",IF(U115&gt;60,"Overstock","Healthy"))))</x:f>
        <x:v>Overstock</x:v>
      </x:c>
      <x:c r="X115" s="22" t="n">
        <x:v>466</x:v>
      </x:c>
      <x:c r="Y115" s="22" t="n">
        <x:v>28</x:v>
      </x:c>
      <x:c r="Z115" s="22" t="n">
        <x:v>2</x:v>
      </x:c>
      <x:c r="AA115" s="24" t="n">
        <x:f>IFERROR(Y115/X115*100,0)</x:f>
        <x:v>6.008583690987124</x:v>
      </x:c>
      <x:c r="AB115" s="26" t="n">
        <x:v>-28</x:v>
      </x:c>
      <x:c r="AC115" s="24" t="n">
        <x:f>IFERROR(Z115/X115*100,0)</x:f>
        <x:v>0.4291845493562232</x:v>
      </x:c>
      <x:c r="AD115" s="26" t="n">
        <x:v>-46.5</x:v>
      </x:c>
      <x:c r="AE115" s="22" t="n">
        <x:f>IFERROR(Z115*M115,0)</x:f>
        <x:v>92462</x:v>
      </x:c>
      <x:c r="AF115" s="26" t="n">
        <x:v>-54.6</x:v>
      </x:c>
      <x:c r="AG115" s="24" t="n">
        <x:v>44.4</x:v>
      </x:c>
      <x:c r="AH115" s="26" t="n">
        <x:v>-1</x:v>
      </x:c>
      <x:c r="AI115" s="22" t="n">
        <x:v>16</x:v>
      </x:c>
      <x:c r="AJ115" s="22" t="n">
        <x:v>7</x:v>
      </x:c>
      <x:c r="AK115" s="22" t="n">
        <x:v>4</x:v>
      </x:c>
      <x:c r="AL115" s="22" t="n">
        <x:v>3</x:v>
      </x:c>
      <x:c r="AM115" s="22" t="n">
        <x:v>3</x:v>
      </x:c>
      <x:c r="AN115" s="24" t="n">
        <x:f>IFERROR(AI115/X115*100,0)</x:f>
        <x:v>3.4334763948497855</x:v>
      </x:c>
      <x:c r="AO115" s="24" t="n">
        <x:f>IFERROR(AJ115/X115*100,0)</x:f>
        <x:v>1.502145922746781</x:v>
      </x:c>
      <x:c r="AP115" s="24" t="n">
        <x:f>IFERROR(AK115/X115*100,0)</x:f>
        <x:v>0.8583690987124464</x:v>
      </x:c>
      <x:c r="AQ115" s="24" t="n">
        <x:f>IFERROR(AL115/X115*100,0)</x:f>
        <x:v>0.6437768240343348</x:v>
      </x:c>
      <x:c r="AR115" s="24" t="n">
        <x:f>IFERROR(AM115/X115*100,0)</x:f>
        <x:v>0.6437768240343348</x:v>
      </x:c>
      <x:c r="AS115" s="24" t="n">
        <x:f>IFERROR(Z115/X115*100,0)</x:f>
        <x:v>0.4291845493562232</x:v>
      </x:c>
      <x:c r="AT115" s="26" t="n">
        <x:v>11.1</x:v>
      </x:c>
      <x:c r="AU115" s="26" t="n">
        <x:v>-28</x:v>
      </x:c>
      <x:c r="AV115" s="26" t="n">
        <x:v>-28.4</x:v>
      </x:c>
      <x:c r="AW115" s="26" t="n">
        <x:v>-10</x:v>
      </x:c>
      <x:c r="AX115" s="26" t="n">
        <x:v>3.5</x:v>
      </x:c>
      <x:c r="AY115" s="26" t="n">
        <x:v>-28.7</x:v>
      </x:c>
      <x:c r="AZ115" s="26" t="n">
        <x:v>9</x:v>
      </x:c>
      <x:c r="BA115" s="26" t="n">
        <x:v>-46.5</x:v>
      </x:c>
      <x:c r="BB115" s="22" t="n">
        <x:f>IFERROR(AE115/Z115,0)</x:f>
        <x:v>46231</x:v>
      </x:c>
      <x:c r="BC115" s="17" t="n">
        <x:f>IF(OR(V115="out_of_stock",V115="critical_low_stock"),MAX(0,(14-U115)*T115),0)</x:f>
        <x:v>0</x:v>
      </x:c>
      <x:c r="BD115" s="22" t="n">
        <x:f>IFERROR(BC115*M115,0)</x:f>
        <x:v>0</x:v>
      </x:c>
      <x:c r="BE115" s="17" t="str">
        <x:v>mobile_funnel_behavior</x:v>
      </x:c>
      <x:c r="BF115" s="17" t="str">
        <x:v>inspired_by_uploaded_mobile_funnel_screenshot + copied_product_context</x:v>
      </x:c>
    </x:row>
    <x:row r="116">
      <x:c r="A116" s="17" t="n">
        <x:v>115</x:v>
      </x:c>
      <x:c r="B116" s="17" t="str">
        <x:v>MOBILE_EVENT_FUNNEL</x:v>
      </x:c>
      <x:c r="C116" s="20" t="n">
        <x:v>46144</x:v>
      </x:c>
      <x:c r="D116" s="17" t="str">
        <x:v>Mobile Web</x:v>
      </x:c>
      <x:c r="E116" s="17" t="str">
        <x:v>Mobile</x:v>
      </x:c>
      <x:c r="F116" s="17" t="str">
        <x:v>Search Organic Generic</x:v>
      </x:c>
      <x:c r="G116" s="17" t="n">
        <x:v>28</x:v>
      </x:c>
      <x:c r="H116" s="17" t="str">
        <x:v>XIAOMI</x:v>
      </x:c>
      <x:c r="I116" s="17" t="str">
        <x:v>Telefon</x:v>
      </x:c>
      <x:c r="J116" s="17" t="str">
        <x:v>Cep Telefonları</x:v>
      </x:c>
      <x:c r="K116" s="17" t="str">
        <x:v>XIAOMI Redmi Note 15 Pro 8/256GB Akıllı Telefon Titanium</x:v>
      </x:c>
      <x:c r="L116" s="17" t="str">
        <x:v>1251728</x:v>
      </x:c>
      <x:c r="M116" s="22" t="n">
        <x:v>11425</x:v>
      </x:c>
      <x:c r="N116" s="26" t="n">
        <x:v>9.2</x:v>
      </x:c>
      <x:c r="O116" s="22" t="n">
        <x:v>20</x:v>
      </x:c>
      <x:c r="P116" s="22" t="n">
        <x:v>12</x:v>
      </x:c>
      <x:c r="Q116" s="22" t="n">
        <x:v>52</x:v>
      </x:c>
      <x:c r="R116" s="17" t="n">
        <x:v>21</x:v>
      </x:c>
      <x:c r="S116" s="22" t="n">
        <x:v>39</x:v>
      </x:c>
      <x:c r="T116" s="24" t="n">
        <x:v>1.6</x:v>
      </x:c>
      <x:c r="U116" s="24" t="n">
        <x:f>IFERROR(O116/T116,0)</x:f>
        <x:v>12.5</x:v>
      </x:c>
      <x:c r="V116" s="17" t="str">
        <x:f>IF(O116&lt;=0,"out_of_stock",IF(U116&lt;7,"critical_low_stock",IF(U116&gt;60,"overstock","in_stock")))</x:f>
        <x:v>in_stock</x:v>
      </x:c>
      <x:c r="W116" s="17" t="str">
        <x:f>IF(O116&lt;=0,"OOS",IF(AND(U116&lt;7,AC116&gt;=0.5),"High Risk",IF(U116&lt;14,"Medium Risk",IF(U116&gt;60,"Overstock","Healthy"))))</x:f>
        <x:v>Medium Risk</x:v>
      </x:c>
      <x:c r="X116" s="22" t="n">
        <x:v>187</x:v>
      </x:c>
      <x:c r="Y116" s="22" t="n">
        <x:v>11</x:v>
      </x:c>
      <x:c r="Z116" s="22" t="n">
        <x:v>1</x:v>
      </x:c>
      <x:c r="AA116" s="24" t="n">
        <x:f>IFERROR(Y116/X116*100,0)</x:f>
        <x:v>5.88235294117647</x:v>
      </x:c>
      <x:c r="AB116" s="26" t="n">
        <x:v>-2.8</x:v>
      </x:c>
      <x:c r="AC116" s="24" t="n">
        <x:f>IFERROR(Z116/X116*100,0)</x:f>
        <x:v>0.53475935828877</x:v>
      </x:c>
      <x:c r="AD116" s="26" t="n">
        <x:v>-57.4</x:v>
      </x:c>
      <x:c r="AE116" s="22" t="n">
        <x:f>IFERROR(Z116*M116,0)</x:f>
        <x:v>11425</x:v>
      </x:c>
      <x:c r="AF116" s="26" t="n">
        <x:v>-55.9</x:v>
      </x:c>
      <x:c r="AG116" s="24" t="n">
        <x:v>68.8</x:v>
      </x:c>
      <x:c r="AH116" s="26" t="n">
        <x:v>17.2</x:v>
      </x:c>
      <x:c r="AI116" s="22" t="n">
        <x:v>2</x:v>
      </x:c>
      <x:c r="AJ116" s="22" t="n">
        <x:v>1</x:v>
      </x:c>
      <x:c r="AK116" s="22" t="n">
        <x:v>1</x:v>
      </x:c>
      <x:c r="AL116" s="22" t="n">
        <x:v>1</x:v>
      </x:c>
      <x:c r="AM116" s="22" t="n">
        <x:v>1</x:v>
      </x:c>
      <x:c r="AN116" s="24" t="n">
        <x:f>IFERROR(AI116/X116*100,0)</x:f>
        <x:v>1.06951871657754</x:v>
      </x:c>
      <x:c r="AO116" s="24" t="n">
        <x:f>IFERROR(AJ116/X116*100,0)</x:f>
        <x:v>0.53475935828877</x:v>
      </x:c>
      <x:c r="AP116" s="24" t="n">
        <x:f>IFERROR(AK116/X116*100,0)</x:f>
        <x:v>0.53475935828877</x:v>
      </x:c>
      <x:c r="AQ116" s="24" t="n">
        <x:f>IFERROR(AL116/X116*100,0)</x:f>
        <x:v>0.53475935828877</x:v>
      </x:c>
      <x:c r="AR116" s="24" t="n">
        <x:f>IFERROR(AM116/X116*100,0)</x:f>
        <x:v>0.53475935828877</x:v>
      </x:c>
      <x:c r="AS116" s="24" t="n">
        <x:f>IFERROR(Z116/X116*100,0)</x:f>
        <x:v>0.53475935828877</x:v>
      </x:c>
      <x:c r="AT116" s="26" t="n">
        <x:v>-0.4</x:v>
      </x:c>
      <x:c r="AU116" s="26" t="n">
        <x:v>-2.8</x:v>
      </x:c>
      <x:c r="AV116" s="26" t="n">
        <x:v>-57.7</x:v>
      </x:c>
      <x:c r="AW116" s="26" t="n">
        <x:v>-32.8</x:v>
      </x:c>
      <x:c r="AX116" s="26" t="n">
        <x:v>0.8</x:v>
      </x:c>
      <x:c r="AY116" s="26" t="n">
        <x:v>5.5</x:v>
      </x:c>
      <x:c r="AZ116" s="26" t="n">
        <x:v>-10.7</x:v>
      </x:c>
      <x:c r="BA116" s="26" t="n">
        <x:v>-57.4</x:v>
      </x:c>
      <x:c r="BB116" s="22" t="n">
        <x:f>IFERROR(AE116/Z116,0)</x:f>
        <x:v>11425</x:v>
      </x:c>
      <x:c r="BC116" s="17" t="n">
        <x:f>IF(OR(V116="out_of_stock",V116="critical_low_stock"),MAX(0,(14-U116)*T116),0)</x:f>
        <x:v>0</x:v>
      </x:c>
      <x:c r="BD116" s="22" t="n">
        <x:f>IFERROR(BC116*M116,0)</x:f>
        <x:v>0</x:v>
      </x:c>
      <x:c r="BE116" s="17" t="str">
        <x:v>mobile_funnel_behavior</x:v>
      </x:c>
      <x:c r="BF116" s="17" t="str">
        <x:v>inspired_by_uploaded_mobile_funnel_screenshot + copied_product_context</x:v>
      </x:c>
    </x:row>
    <x:row r="117">
      <x:c r="A117" s="17" t="n">
        <x:v>116</x:v>
      </x:c>
      <x:c r="B117" s="17" t="str">
        <x:v>MOBILE_EVENT_FUNNEL</x:v>
      </x:c>
      <x:c r="C117" s="20" t="n">
        <x:v>46145</x:v>
      </x:c>
      <x:c r="D117" s="17" t="str">
        <x:v>Mobile Web</x:v>
      </x:c>
      <x:c r="E117" s="17" t="str">
        <x:v>Mobile</x:v>
      </x:c>
      <x:c r="F117" s="17" t="str">
        <x:v>Price Comparison</x:v>
      </x:c>
      <x:c r="G117" s="17" t="n">
        <x:v>99</x:v>
      </x:c>
      <x:c r="H117" s="17" t="str">
        <x:v>PHILIPS</x:v>
      </x:c>
      <x:c r="I117" s="17" t="str">
        <x:v>Other</x:v>
      </x:c>
      <x:c r="J117" s="17" t="str">
        <x:v>Other</x:v>
      </x:c>
      <x:c r="K117" s="17" t="str">
        <x:v>PHILIPS Lumea 9900 Serisi BRI950/02 IPL Tüy Alma, SkinAI Uygulama, Vücut ve Yüz için 2 Başlık, Çanta</x:v>
      </x:c>
      <x:c r="L117" s="17" t="str">
        <x:v>1248715</x:v>
      </x:c>
      <x:c r="M117" s="22" t="n">
        <x:v>13701</x:v>
      </x:c>
      <x:c r="N117" s="26" t="n">
        <x:v>17.5</x:v>
      </x:c>
      <x:c r="O117" s="22" t="n">
        <x:v>157</x:v>
      </x:c>
      <x:c r="P117" s="22" t="n">
        <x:v>192</x:v>
      </x:c>
      <x:c r="Q117" s="22" t="n">
        <x:v>0</x:v>
      </x:c>
      <x:c r="R117" s="17" t="n">
        <x:v>21</x:v>
      </x:c>
      <x:c r="S117" s="22" t="n">
        <x:v>12</x:v>
      </x:c>
      <x:c r="T117" s="24" t="n">
        <x:v>0.5</x:v>
      </x:c>
      <x:c r="U117" s="24" t="n">
        <x:f>IFERROR(O117/T117,0)</x:f>
        <x:v>314</x:v>
      </x:c>
      <x:c r="V117" s="17" t="str">
        <x:f>IF(O117&lt;=0,"out_of_stock",IF(U117&lt;7,"critical_low_stock",IF(U117&gt;60,"overstock","in_stock")))</x:f>
        <x:v>overstock</x:v>
      </x:c>
      <x:c r="W117" s="17" t="str">
        <x:f>IF(O117&lt;=0,"OOS",IF(AND(U117&lt;7,AC117&gt;=0.5),"High Risk",IF(U117&lt;14,"Medium Risk",IF(U117&gt;60,"Overstock","Healthy"))))</x:f>
        <x:v>Overstock</x:v>
      </x:c>
      <x:c r="X117" s="22" t="n">
        <x:v>730</x:v>
      </x:c>
      <x:c r="Y117" s="22" t="n">
        <x:v>34</x:v>
      </x:c>
      <x:c r="Z117" s="22" t="n">
        <x:v>2</x:v>
      </x:c>
      <x:c r="AA117" s="24" t="n">
        <x:f>IFERROR(Y117/X117*100,0)</x:f>
        <x:v>4.657534246575342</x:v>
      </x:c>
      <x:c r="AB117" s="26" t="n">
        <x:v>-69.1</x:v>
      </x:c>
      <x:c r="AC117" s="24" t="n">
        <x:f>IFERROR(Z117/X117*100,0)</x:f>
        <x:v>0.273972602739726</x:v>
      </x:c>
      <x:c r="AD117" s="26" t="n">
        <x:v>-9.2</x:v>
      </x:c>
      <x:c r="AE117" s="22" t="n">
        <x:f>IFERROR(Z117*M117,0)</x:f>
        <x:v>27402</x:v>
      </x:c>
      <x:c r="AF117" s="26" t="n">
        <x:v>16.7</x:v>
      </x:c>
      <x:c r="AG117" s="24" t="n">
        <x:v>52.5</x:v>
      </x:c>
      <x:c r="AH117" s="26" t="n">
        <x:v>8.5</x:v>
      </x:c>
      <x:c r="AI117" s="22" t="n">
        <x:v>26</x:v>
      </x:c>
      <x:c r="AJ117" s="22" t="n">
        <x:v>8</x:v>
      </x:c>
      <x:c r="AK117" s="22" t="n">
        <x:v>6</x:v>
      </x:c>
      <x:c r="AL117" s="22" t="n">
        <x:v>6</x:v>
      </x:c>
      <x:c r="AM117" s="22" t="n">
        <x:v>3</x:v>
      </x:c>
      <x:c r="AN117" s="24" t="n">
        <x:f>IFERROR(AI117/X117*100,0)</x:f>
        <x:v>3.5616438356164384</x:v>
      </x:c>
      <x:c r="AO117" s="24" t="n">
        <x:f>IFERROR(AJ117/X117*100,0)</x:f>
        <x:v>1.095890410958904</x:v>
      </x:c>
      <x:c r="AP117" s="24" t="n">
        <x:f>IFERROR(AK117/X117*100,0)</x:f>
        <x:v>0.821917808219178</x:v>
      </x:c>
      <x:c r="AQ117" s="24" t="n">
        <x:f>IFERROR(AL117/X117*100,0)</x:f>
        <x:v>0.821917808219178</x:v>
      </x:c>
      <x:c r="AR117" s="24" t="n">
        <x:f>IFERROR(AM117/X117*100,0)</x:f>
        <x:v>0.410958904109589</x:v>
      </x:c>
      <x:c r="AS117" s="24" t="n">
        <x:f>IFERROR(Z117/X117*100,0)</x:f>
        <x:v>0.273972602739726</x:v>
      </x:c>
      <x:c r="AT117" s="26" t="n">
        <x:v>6.7</x:v>
      </x:c>
      <x:c r="AU117" s="26" t="n">
        <x:v>-69.1</x:v>
      </x:c>
      <x:c r="AV117" s="26" t="n">
        <x:v>-22.6</x:v>
      </x:c>
      <x:c r="AW117" s="26" t="n">
        <x:v>-46.4</x:v>
      </x:c>
      <x:c r="AX117" s="26" t="n">
        <x:v>20.5</x:v>
      </x:c>
      <x:c r="AY117" s="26" t="n">
        <x:v>-13.2</x:v>
      </x:c>
      <x:c r="AZ117" s="26" t="n">
        <x:v>-35.4</x:v>
      </x:c>
      <x:c r="BA117" s="26" t="n">
        <x:v>-9.2</x:v>
      </x:c>
      <x:c r="BB117" s="22" t="n">
        <x:f>IFERROR(AE117/Z117,0)</x:f>
        <x:v>13701</x:v>
      </x:c>
      <x:c r="BC117" s="17" t="n">
        <x:f>IF(OR(V117="out_of_stock",V117="critical_low_stock"),MAX(0,(14-U117)*T117),0)</x:f>
        <x:v>0</x:v>
      </x:c>
      <x:c r="BD117" s="22" t="n">
        <x:f>IFERROR(BC117*M117,0)</x:f>
        <x:v>0</x:v>
      </x:c>
      <x:c r="BE117" s="17" t="str">
        <x:v>mobile_funnel_behavior</x:v>
      </x:c>
      <x:c r="BF117" s="17" t="str">
        <x:v>inspired_by_uploaded_mobile_funnel_screenshot + copied_product_context</x:v>
      </x:c>
    </x:row>
    <x:row r="118">
      <x:c r="A118" s="17" t="n">
        <x:v>117</x:v>
      </x:c>
      <x:c r="B118" s="17" t="str">
        <x:v>MOBILE_EVENT_FUNNEL</x:v>
      </x:c>
      <x:c r="C118" s="20" t="n">
        <x:v>46146</x:v>
      </x:c>
      <x:c r="D118" s="17" t="str">
        <x:v>Mobile Web</x:v>
      </x:c>
      <x:c r="E118" s="17" t="str">
        <x:v>Mobile</x:v>
      </x:c>
      <x:c r="F118" s="17" t="str">
        <x:v>CRM</x:v>
      </x:c>
      <x:c r="G118" s="17" t="n">
        <x:v>99</x:v>
      </x:c>
      <x:c r="H118" s="17" t="str">
        <x:v>BOSCH</x:v>
      </x:c>
      <x:c r="I118" s="17" t="str">
        <x:v>Other</x:v>
      </x:c>
      <x:c r="J118" s="17" t="str">
        <x:v>Other</x:v>
      </x:c>
      <x:c r="K118" s="17" t="str">
        <x:v>BOSCH WGA25202TR A Enerji Sınıfı 10 kg 1200 Devir Çamaşır Makinesi Beyaz</x:v>
      </x:c>
      <x:c r="L118" s="17" t="str">
        <x:v>1245733</x:v>
      </x:c>
      <x:c r="M118" s="22" t="n">
        <x:v>27105</x:v>
      </x:c>
      <x:c r="N118" s="26" t="n">
        <x:v>2.9</x:v>
      </x:c>
      <x:c r="O118" s="22" t="n">
        <x:v>33</x:v>
      </x:c>
      <x:c r="P118" s="22" t="n">
        <x:v>30</x:v>
      </x:c>
      <x:c r="Q118" s="22" t="n">
        <x:v>0</x:v>
      </x:c>
      <x:c r="R118" s="17" t="n">
        <x:v>21</x:v>
      </x:c>
      <x:c r="S118" s="22" t="n">
        <x:v>12</x:v>
      </x:c>
      <x:c r="T118" s="24" t="n">
        <x:v>0.5</x:v>
      </x:c>
      <x:c r="U118" s="24" t="n">
        <x:f>IFERROR(O118/T118,0)</x:f>
        <x:v>66</x:v>
      </x:c>
      <x:c r="V118" s="17" t="str">
        <x:f>IF(O118&lt;=0,"out_of_stock",IF(U118&lt;7,"critical_low_stock",IF(U118&gt;60,"overstock","in_stock")))</x:f>
        <x:v>overstock</x:v>
      </x:c>
      <x:c r="W118" s="17" t="str">
        <x:f>IF(O118&lt;=0,"OOS",IF(AND(U118&lt;7,AC118&gt;=0.5),"High Risk",IF(U118&lt;14,"Medium Risk",IF(U118&gt;60,"Overstock","Healthy"))))</x:f>
        <x:v>Overstock</x:v>
      </x:c>
      <x:c r="X118" s="22" t="n">
        <x:v>120</x:v>
      </x:c>
      <x:c r="Y118" s="22" t="n">
        <x:v>15</x:v>
      </x:c>
      <x:c r="Z118" s="22" t="n">
        <x:v>1</x:v>
      </x:c>
      <x:c r="AA118" s="24" t="n">
        <x:f>IFERROR(Y118/X118*100,0)</x:f>
        <x:v>12.5</x:v>
      </x:c>
      <x:c r="AB118" s="26" t="n">
        <x:v>-104.9</x:v>
      </x:c>
      <x:c r="AC118" s="24" t="n">
        <x:f>IFERROR(Z118/X118*100,0)</x:f>
        <x:v>0.8333333333333334</x:v>
      </x:c>
      <x:c r="AD118" s="26" t="n">
        <x:v>-34.7</x:v>
      </x:c>
      <x:c r="AE118" s="22" t="n">
        <x:f>IFERROR(Z118*M118,0)</x:f>
        <x:v>27105</x:v>
      </x:c>
      <x:c r="AF118" s="26" t="n">
        <x:v>-30.3</x:v>
      </x:c>
      <x:c r="AG118" s="24" t="n">
        <x:v>58.7</x:v>
      </x:c>
      <x:c r="AH118" s="26" t="n">
        <x:v>2.4</x:v>
      </x:c>
      <x:c r="AI118" s="22" t="n">
        <x:v>11</x:v>
      </x:c>
      <x:c r="AJ118" s="22" t="n">
        <x:v>8</x:v>
      </x:c>
      <x:c r="AK118" s="22" t="n">
        <x:v>6</x:v>
      </x:c>
      <x:c r="AL118" s="22" t="n">
        <x:v>6</x:v>
      </x:c>
      <x:c r="AM118" s="22" t="n">
        <x:v>3</x:v>
      </x:c>
      <x:c r="AN118" s="24" t="n">
        <x:f>IFERROR(AI118/X118*100,0)</x:f>
        <x:v>9.166666666666666</x:v>
      </x:c>
      <x:c r="AO118" s="24" t="n">
        <x:f>IFERROR(AJ118/X118*100,0)</x:f>
        <x:v>6.666666666666667</x:v>
      </x:c>
      <x:c r="AP118" s="24" t="n">
        <x:f>IFERROR(AK118/X118*100,0)</x:f>
        <x:v>5</x:v>
      </x:c>
      <x:c r="AQ118" s="24" t="n">
        <x:f>IFERROR(AL118/X118*100,0)</x:f>
        <x:v>5</x:v>
      </x:c>
      <x:c r="AR118" s="24" t="n">
        <x:f>IFERROR(AM118/X118*100,0)</x:f>
        <x:v>2.5</x:v>
      </x:c>
      <x:c r="AS118" s="24" t="n">
        <x:f>IFERROR(Z118/X118*100,0)</x:f>
        <x:v>0.8333333333333334</x:v>
      </x:c>
      <x:c r="AT118" s="26" t="n">
        <x:v>6.3</x:v>
      </x:c>
      <x:c r="AU118" s="26" t="n">
        <x:v>-104.9</x:v>
      </x:c>
      <x:c r="AV118" s="26" t="n">
        <x:v>-28.3</x:v>
      </x:c>
      <x:c r="AW118" s="26" t="n">
        <x:v>-33.2</x:v>
      </x:c>
      <x:c r="AX118" s="26" t="n">
        <x:v>-1.2</x:v>
      </x:c>
      <x:c r="AY118" s="26" t="n">
        <x:v>9.5</x:v>
      </x:c>
      <x:c r="AZ118" s="26" t="n">
        <x:v>-41.6</x:v>
      </x:c>
      <x:c r="BA118" s="26" t="n">
        <x:v>-34.7</x:v>
      </x:c>
      <x:c r="BB118" s="22" t="n">
        <x:f>IFERROR(AE118/Z118,0)</x:f>
        <x:v>27105</x:v>
      </x:c>
      <x:c r="BC118" s="17" t="n">
        <x:f>IF(OR(V118="out_of_stock",V118="critical_low_stock"),MAX(0,(14-U118)*T118),0)</x:f>
        <x:v>0</x:v>
      </x:c>
      <x:c r="BD118" s="22" t="n">
        <x:f>IFERROR(BC118*M118,0)</x:f>
        <x:v>0</x:v>
      </x:c>
      <x:c r="BE118" s="17" t="str">
        <x:v>mobile_funnel_behavior</x:v>
      </x:c>
      <x:c r="BF118" s="17" t="str">
        <x:v>inspired_by_uploaded_mobile_funnel_screenshot + copied_product_context</x:v>
      </x:c>
    </x:row>
    <x:row r="119">
      <x:c r="A119" s="17" t="n">
        <x:v>118</x:v>
      </x:c>
      <x:c r="B119" s="17" t="str">
        <x:v>MOBILE_EVENT_FUNNEL</x:v>
      </x:c>
      <x:c r="C119" s="20" t="n">
        <x:v>46147</x:v>
      </x:c>
      <x:c r="D119" s="17" t="str">
        <x:v>Mobile Web</x:v>
      </x:c>
      <x:c r="E119" s="17" t="str">
        <x:v>Mobile</x:v>
      </x:c>
      <x:c r="F119" s="17" t="str">
        <x:v>Search Paid Generic</x:v>
      </x:c>
      <x:c r="G119" s="17" t="n">
        <x:v>99</x:v>
      </x:c>
      <x:c r="H119" s="17" t="str">
        <x:v>PHILIPS</x:v>
      </x:c>
      <x:c r="I119" s="17" t="str">
        <x:v>Other</x:v>
      </x:c>
      <x:c r="J119" s="17" t="str">
        <x:v>Other</x:v>
      </x:c>
      <x:c r="K119" s="17" t="str">
        <x:v>PHILIPS Azur DST8050/20 Buharlı Ütü Mavi</x:v>
      </x:c>
      <x:c r="L119" s="17" t="str">
        <x:v>1224990</x:v>
      </x:c>
      <x:c r="M119" s="22" t="n">
        <x:v>5494</x:v>
      </x:c>
      <x:c r="N119" s="26" t="n">
        <x:v>-11.6</x:v>
      </x:c>
      <x:c r="O119" s="22" t="n">
        <x:v>126</x:v>
      </x:c>
      <x:c r="P119" s="22" t="n">
        <x:v>72</x:v>
      </x:c>
      <x:c r="Q119" s="22" t="n">
        <x:v>0</x:v>
      </x:c>
      <x:c r="R119" s="17" t="n">
        <x:v>10</x:v>
      </x:c>
      <x:c r="S119" s="22" t="n">
        <x:v>21</x:v>
      </x:c>
      <x:c r="T119" s="24" t="n">
        <x:v>1.6</x:v>
      </x:c>
      <x:c r="U119" s="24" t="n">
        <x:f>IFERROR(O119/T119,0)</x:f>
        <x:v>78.75</x:v>
      </x:c>
      <x:c r="V119" s="17" t="str">
        <x:f>IF(O119&lt;=0,"out_of_stock",IF(U119&lt;7,"critical_low_stock",IF(U119&gt;60,"overstock","in_stock")))</x:f>
        <x:v>overstock</x:v>
      </x:c>
      <x:c r="W119" s="17" t="str">
        <x:f>IF(O119&lt;=0,"OOS",IF(AND(U119&lt;7,AC119&gt;=0.5),"High Risk",IF(U119&lt;14,"Medium Risk",IF(U119&gt;60,"Overstock","Healthy"))))</x:f>
        <x:v>Overstock</x:v>
      </x:c>
      <x:c r="X119" s="22" t="n">
        <x:v>442</x:v>
      </x:c>
      <x:c r="Y119" s="22" t="n">
        <x:v>46</x:v>
      </x:c>
      <x:c r="Z119" s="22" t="n">
        <x:v>1</x:v>
      </x:c>
      <x:c r="AA119" s="24" t="n">
        <x:f>IFERROR(Y119/X119*100,0)</x:f>
        <x:v>10.407239819004525</x:v>
      </x:c>
      <x:c r="AB119" s="26" t="n">
        <x:v>-30.8</x:v>
      </x:c>
      <x:c r="AC119" s="24" t="n">
        <x:f>IFERROR(Z119/X119*100,0)</x:f>
        <x:v>0.22624434389140274</x:v>
      </x:c>
      <x:c r="AD119" s="26" t="n">
        <x:v>-36.2</x:v>
      </x:c>
      <x:c r="AE119" s="22" t="n">
        <x:f>IFERROR(Z119*M119,0)</x:f>
        <x:v>5494</x:v>
      </x:c>
      <x:c r="AF119" s="26" t="n">
        <x:v>-50.9</x:v>
      </x:c>
      <x:c r="AG119" s="24" t="n">
        <x:v>62.4</x:v>
      </x:c>
      <x:c r="AH119" s="26" t="n">
        <x:v>5.5</x:v>
      </x:c>
      <x:c r="AI119" s="22" t="n">
        <x:v>31</x:v>
      </x:c>
      <x:c r="AJ119" s="22" t="n">
        <x:v>4</x:v>
      </x:c>
      <x:c r="AK119" s="22" t="n">
        <x:v>2</x:v>
      </x:c>
      <x:c r="AL119" s="22" t="n">
        <x:v>1</x:v>
      </x:c>
      <x:c r="AM119" s="22" t="n">
        <x:v>1</x:v>
      </x:c>
      <x:c r="AN119" s="24" t="n">
        <x:f>IFERROR(AI119/X119*100,0)</x:f>
        <x:v>7.013574660633484</x:v>
      </x:c>
      <x:c r="AO119" s="24" t="n">
        <x:f>IFERROR(AJ119/X119*100,0)</x:f>
        <x:v>0.904977375565611</x:v>
      </x:c>
      <x:c r="AP119" s="24" t="n">
        <x:f>IFERROR(AK119/X119*100,0)</x:f>
        <x:v>0.4524886877828055</x:v>
      </x:c>
      <x:c r="AQ119" s="24" t="n">
        <x:f>IFERROR(AL119/X119*100,0)</x:f>
        <x:v>0.22624434389140274</x:v>
      </x:c>
      <x:c r="AR119" s="24" t="n">
        <x:f>IFERROR(AM119/X119*100,0)</x:f>
        <x:v>0.22624434389140274</x:v>
      </x:c>
      <x:c r="AS119" s="24" t="n">
        <x:f>IFERROR(Z119/X119*100,0)</x:f>
        <x:v>0.22624434389140274</x:v>
      </x:c>
      <x:c r="AT119" s="26" t="n">
        <x:v>1.7</x:v>
      </x:c>
      <x:c r="AU119" s="26" t="n">
        <x:v>-30.8</x:v>
      </x:c>
      <x:c r="AV119" s="26" t="n">
        <x:v>-29.8</x:v>
      </x:c>
      <x:c r="AW119" s="26" t="n">
        <x:v>-67.4</x:v>
      </x:c>
      <x:c r="AX119" s="26" t="n">
        <x:v>5</x:v>
      </x:c>
      <x:c r="AY119" s="26" t="n">
        <x:v>-9.8</x:v>
      </x:c>
      <x:c r="AZ119" s="26" t="n">
        <x:v>-18.9</x:v>
      </x:c>
      <x:c r="BA119" s="26" t="n">
        <x:v>-36.2</x:v>
      </x:c>
      <x:c r="BB119" s="22" t="n">
        <x:f>IFERROR(AE119/Z119,0)</x:f>
        <x:v>5494</x:v>
      </x:c>
      <x:c r="BC119" s="17" t="n">
        <x:f>IF(OR(V119="out_of_stock",V119="critical_low_stock"),MAX(0,(14-U119)*T119),0)</x:f>
        <x:v>0</x:v>
      </x:c>
      <x:c r="BD119" s="22" t="n">
        <x:f>IFERROR(BC119*M119,0)</x:f>
        <x:v>0</x:v>
      </x:c>
      <x:c r="BE119" s="17" t="str">
        <x:v>mobile_funnel_behavior</x:v>
      </x:c>
      <x:c r="BF119" s="17" t="str">
        <x:v>inspired_by_uploaded_mobile_funnel_screenshot + copied_product_context</x:v>
      </x:c>
    </x:row>
    <x:row r="120">
      <x:c r="A120" s="17" t="n">
        <x:v>119</x:v>
      </x:c>
      <x:c r="B120" s="17" t="str">
        <x:v>MOBILE_EVENT_FUNNEL</x:v>
      </x:c>
      <x:c r="C120" s="20" t="n">
        <x:v>46148</x:v>
      </x:c>
      <x:c r="D120" s="17" t="str">
        <x:v>Mobile Web</x:v>
      </x:c>
      <x:c r="E120" s="17" t="str">
        <x:v>Mobile</x:v>
      </x:c>
      <x:c r="F120" s="17" t="str">
        <x:v>Direct</x:v>
      </x:c>
      <x:c r="G120" s="17" t="n">
        <x:v>24</x:v>
      </x:c>
      <x:c r="H120" s="17" t="str">
        <x:v>APPLE</x:v>
      </x:c>
      <x:c r="I120" s="17" t="str">
        <x:v>Bilgisayar</x:v>
      </x:c>
      <x:c r="J120" s="17" t="str">
        <x:v>Tabletler</x:v>
      </x:c>
      <x:c r="K120" s="17" t="str">
        <x:v>APPLE MUWA3ZE/A USB-C Tablet Kalemi</x:v>
      </x:c>
      <x:c r="L120" s="17" t="str">
        <x:v>1234605</x:v>
      </x:c>
      <x:c r="M120" s="22" t="n">
        <x:v>6284</x:v>
      </x:c>
      <x:c r="N120" s="26" t="n">
        <x:v>16</x:v>
      </x:c>
      <x:c r="O120" s="22" t="n">
        <x:v>19</x:v>
      </x:c>
      <x:c r="P120" s="22" t="n">
        <x:v>20</x:v>
      </x:c>
      <x:c r="Q120" s="22" t="n">
        <x:v>44</x:v>
      </x:c>
      <x:c r="R120" s="17" t="n">
        <x:v>10</x:v>
      </x:c>
      <x:c r="S120" s="22" t="n">
        <x:v>24</x:v>
      </x:c>
      <x:c r="T120" s="24" t="n">
        <x:v>1.8</x:v>
      </x:c>
      <x:c r="U120" s="24" t="n">
        <x:f>IFERROR(O120/T120,0)</x:f>
        <x:v>10.555555555555555</x:v>
      </x:c>
      <x:c r="V120" s="17" t="str">
        <x:f>IF(O120&lt;=0,"out_of_stock",IF(U120&lt;7,"critical_low_stock",IF(U120&gt;60,"overstock","in_stock")))</x:f>
        <x:v>in_stock</x:v>
      </x:c>
      <x:c r="W120" s="17" t="str">
        <x:f>IF(O120&lt;=0,"OOS",IF(AND(U120&lt;7,AC120&gt;=0.5),"High Risk",IF(U120&lt;14,"Medium Risk",IF(U120&gt;60,"Overstock","Healthy"))))</x:f>
        <x:v>Medium Risk</x:v>
      </x:c>
      <x:c r="X120" s="22" t="n">
        <x:v>536</x:v>
      </x:c>
      <x:c r="Y120" s="22" t="n">
        <x:v>63</x:v>
      </x:c>
      <x:c r="Z120" s="22" t="n">
        <x:v>6</x:v>
      </x:c>
      <x:c r="AA120" s="24" t="n">
        <x:f>IFERROR(Y120/X120*100,0)</x:f>
        <x:v>11.753731343283583</x:v>
      </x:c>
      <x:c r="AB120" s="26" t="n">
        <x:v>-14.9</x:v>
      </x:c>
      <x:c r="AC120" s="24" t="n">
        <x:f>IFERROR(Z120/X120*100,0)</x:f>
        <x:v>1.1194029850746268</x:v>
      </x:c>
      <x:c r="AD120" s="26" t="n">
        <x:v>6.3</x:v>
      </x:c>
      <x:c r="AE120" s="22" t="n">
        <x:f>IFERROR(Z120*M120,0)</x:f>
        <x:v>37704</x:v>
      </x:c>
      <x:c r="AF120" s="26" t="n">
        <x:v>16</x:v>
      </x:c>
      <x:c r="AG120" s="24" t="n">
        <x:v>41.9</x:v>
      </x:c>
      <x:c r="AH120" s="26" t="n">
        <x:v>7.4</x:v>
      </x:c>
      <x:c r="AI120" s="22" t="n">
        <x:v>48</x:v>
      </x:c>
      <x:c r="AJ120" s="22" t="n">
        <x:v>27</x:v>
      </x:c>
      <x:c r="AK120" s="22" t="n">
        <x:v>19</x:v>
      </x:c>
      <x:c r="AL120" s="22" t="n">
        <x:v>15</x:v>
      </x:c>
      <x:c r="AM120" s="22" t="n">
        <x:v>10</x:v>
      </x:c>
      <x:c r="AN120" s="24" t="n">
        <x:f>IFERROR(AI120/X120*100,0)</x:f>
        <x:v>8.955223880597014</x:v>
      </x:c>
      <x:c r="AO120" s="24" t="n">
        <x:f>IFERROR(AJ120/X120*100,0)</x:f>
        <x:v>5.037313432835821</x:v>
      </x:c>
      <x:c r="AP120" s="24" t="n">
        <x:f>IFERROR(AK120/X120*100,0)</x:f>
        <x:v>3.544776119402985</x:v>
      </x:c>
      <x:c r="AQ120" s="24" t="n">
        <x:f>IFERROR(AL120/X120*100,0)</x:f>
        <x:v>2.798507462686567</x:v>
      </x:c>
      <x:c r="AR120" s="24" t="n">
        <x:f>IFERROR(AM120/X120*100,0)</x:f>
        <x:v>1.8656716417910446</x:v>
      </x:c>
      <x:c r="AS120" s="24" t="n">
        <x:f>IFERROR(Z120/X120*100,0)</x:f>
        <x:v>1.1194029850746268</x:v>
      </x:c>
      <x:c r="AT120" s="26" t="n">
        <x:v>-12.3</x:v>
      </x:c>
      <x:c r="AU120" s="26" t="n">
        <x:v>-14.9</x:v>
      </x:c>
      <x:c r="AV120" s="26" t="n">
        <x:v>-13.5</x:v>
      </x:c>
      <x:c r="AW120" s="26" t="n">
        <x:v>13.2</x:v>
      </x:c>
      <x:c r="AX120" s="26" t="n">
        <x:v>2.3</x:v>
      </x:c>
      <x:c r="AY120" s="26" t="n">
        <x:v>-18</x:v>
      </x:c>
      <x:c r="AZ120" s="26" t="n">
        <x:v>11.3</x:v>
      </x:c>
      <x:c r="BA120" s="26" t="n">
        <x:v>6.3</x:v>
      </x:c>
      <x:c r="BB120" s="22" t="n">
        <x:f>IFERROR(AE120/Z120,0)</x:f>
        <x:v>6284</x:v>
      </x:c>
      <x:c r="BC120" s="17" t="n">
        <x:f>IF(OR(V120="out_of_stock",V120="critical_low_stock"),MAX(0,(14-U120)*T120),0)</x:f>
        <x:v>0</x:v>
      </x:c>
      <x:c r="BD120" s="22" t="n">
        <x:f>IFERROR(BC120*M120,0)</x:f>
        <x:v>0</x:v>
      </x:c>
      <x:c r="BE120" s="17" t="str">
        <x:v>mobile_funnel_behavior</x:v>
      </x:c>
      <x:c r="BF120" s="17" t="str">
        <x:v>inspired_by_uploaded_mobile_funnel_screenshot + copied_product_context</x:v>
      </x:c>
    </x:row>
    <x:row r="121">
      <x:c r="A121" s="17" t="n">
        <x:v>120</x:v>
      </x:c>
      <x:c r="B121" s="17" t="str">
        <x:v>MOBILE_EVENT_FUNNEL</x:v>
      </x:c>
      <x:c r="C121" s="20" t="n">
        <x:v>46149</x:v>
      </x:c>
      <x:c r="D121" s="17" t="str">
        <x:v>Mobile Web</x:v>
      </x:c>
      <x:c r="E121" s="17" t="str">
        <x:v>Mobile</x:v>
      </x:c>
      <x:c r="F121" s="17" t="str">
        <x:v>Price Comparison</x:v>
      </x:c>
      <x:c r="G121" s="17" t="n">
        <x:v>21</x:v>
      </x:c>
      <x:c r="H121" s="17" t="str">
        <x:v>DJI</x:v>
      </x:c>
      <x:c r="I121" s="17" t="str">
        <x:v>Foto &amp; Kamera &amp; Drone</x:v>
      </x:c>
      <x:c r="J121" s="17" t="str">
        <x:v>Drone</x:v>
      </x:c>
      <x:c r="K121" s="17" t="str">
        <x:v>DJI Osmo Pocket 3 Creator Combo</x:v>
      </x:c>
      <x:c r="L121" s="17" t="str">
        <x:v>1234614</x:v>
      </x:c>
      <x:c r="M121" s="22" t="n">
        <x:v>15767</x:v>
      </x:c>
      <x:c r="N121" s="26" t="n">
        <x:v>-0.4</x:v>
      </x:c>
      <x:c r="O121" s="22" t="n">
        <x:v>23</x:v>
      </x:c>
      <x:c r="P121" s="22" t="n">
        <x:v>25</x:v>
      </x:c>
      <x:c r="Q121" s="22" t="n">
        <x:v>0</x:v>
      </x:c>
      <x:c r="R121" s="17" t="n">
        <x:v>7</x:v>
      </x:c>
      <x:c r="S121" s="22" t="n">
        <x:v>14</x:v>
      </x:c>
      <x:c r="T121" s="24" t="n">
        <x:v>1.4</x:v>
      </x:c>
      <x:c r="U121" s="24" t="n">
        <x:f>IFERROR(O121/T121,0)</x:f>
        <x:v>16.42857142857143</x:v>
      </x:c>
      <x:c r="V121" s="17" t="str">
        <x:f>IF(O121&lt;=0,"out_of_stock",IF(U121&lt;7,"critical_low_stock",IF(U121&gt;60,"overstock","in_stock")))</x:f>
        <x:v>in_stock</x:v>
      </x:c>
      <x:c r="W121" s="17" t="str">
        <x:f>IF(O121&lt;=0,"OOS",IF(AND(U121&lt;7,AC121&gt;=0.5),"High Risk",IF(U121&lt;14,"Medium Risk",IF(U121&gt;60,"Overstock","Healthy"))))</x:f>
        <x:v>Healthy</x:v>
      </x:c>
      <x:c r="X121" s="22" t="n">
        <x:v>1049</x:v>
      </x:c>
      <x:c r="Y121" s="22" t="n">
        <x:v>58</x:v>
      </x:c>
      <x:c r="Z121" s="22" t="n">
        <x:v>3</x:v>
      </x:c>
      <x:c r="AA121" s="24" t="n">
        <x:f>IFERROR(Y121/X121*100,0)</x:f>
        <x:v>5.529075309818875</x:v>
      </x:c>
      <x:c r="AB121" s="26" t="n">
        <x:v>-59.1</x:v>
      </x:c>
      <x:c r="AC121" s="24" t="n">
        <x:f>IFERROR(Z121/X121*100,0)</x:f>
        <x:v>0.2859866539561487</x:v>
      </x:c>
      <x:c r="AD121" s="26" t="n">
        <x:v>-3.9</x:v>
      </x:c>
      <x:c r="AE121" s="22" t="n">
        <x:f>IFERROR(Z121*M121,0)</x:f>
        <x:v>47301</x:v>
      </x:c>
      <x:c r="AF121" s="26" t="n">
        <x:v>-2.8</x:v>
      </x:c>
      <x:c r="AG121" s="24" t="n">
        <x:v>67.2</x:v>
      </x:c>
      <x:c r="AH121" s="26" t="n">
        <x:v>7.3</x:v>
      </x:c>
      <x:c r="AI121" s="22" t="n">
        <x:v>48</x:v>
      </x:c>
      <x:c r="AJ121" s="22" t="n">
        <x:v>27</x:v>
      </x:c>
      <x:c r="AK121" s="22" t="n">
        <x:v>20</x:v>
      </x:c>
      <x:c r="AL121" s="22" t="n">
        <x:v>17</x:v>
      </x:c>
      <x:c r="AM121" s="22" t="n">
        <x:v>5</x:v>
      </x:c>
      <x:c r="AN121" s="24" t="n">
        <x:f>IFERROR(AI121/X121*100,0)</x:f>
        <x:v>4.575786463298379</x:v>
      </x:c>
      <x:c r="AO121" s="24" t="n">
        <x:f>IFERROR(AJ121/X121*100,0)</x:f>
        <x:v>2.5738798856053386</x:v>
      </x:c>
      <x:c r="AP121" s="24" t="n">
        <x:f>IFERROR(AK121/X121*100,0)</x:f>
        <x:v>1.9065776930409915</x:v>
      </x:c>
      <x:c r="AQ121" s="24" t="n">
        <x:f>IFERROR(AL121/X121*100,0)</x:f>
        <x:v>1.6205910390848426</x:v>
      </x:c>
      <x:c r="AR121" s="24" t="n">
        <x:f>IFERROR(AM121/X121*100,0)</x:f>
        <x:v>0.47664442326024786</x:v>
      </x:c>
      <x:c r="AS121" s="24" t="n">
        <x:f>IFERROR(Z121/X121*100,0)</x:f>
        <x:v>0.2859866539561487</x:v>
      </x:c>
      <x:c r="AT121" s="26" t="n">
        <x:v>-0.5</x:v>
      </x:c>
      <x:c r="AU121" s="26" t="n">
        <x:v>-59.1</x:v>
      </x:c>
      <x:c r="AV121" s="26" t="n">
        <x:v>-24.1</x:v>
      </x:c>
      <x:c r="AW121" s="26" t="n">
        <x:v>-20.1</x:v>
      </x:c>
      <x:c r="AX121" s="26" t="n">
        <x:v>-7</x:v>
      </x:c>
      <x:c r="AY121" s="26" t="n">
        <x:v>-4.9</x:v>
      </x:c>
      <x:c r="AZ121" s="26" t="n">
        <x:v>-36.5</x:v>
      </x:c>
      <x:c r="BA121" s="26" t="n">
        <x:v>-3.9</x:v>
      </x:c>
      <x:c r="BB121" s="22" t="n">
        <x:f>IFERROR(AE121/Z121,0)</x:f>
        <x:v>15767</x:v>
      </x:c>
      <x:c r="BC121" s="17" t="n">
        <x:f>IF(OR(V121="out_of_stock",V121="critical_low_stock"),MAX(0,(14-U121)*T121),0)</x:f>
        <x:v>0</x:v>
      </x:c>
      <x:c r="BD121" s="22" t="n">
        <x:f>IFERROR(BC121*M121,0)</x:f>
        <x:v>0</x:v>
      </x:c>
      <x:c r="BE121" s="17" t="str">
        <x:v>mobile_funnel_behavior</x:v>
      </x:c>
      <x:c r="BF121" s="17" t="str">
        <x:v>inspired_by_uploaded_mobile_funnel_screenshot + copied_product_context</x:v>
      </x:c>
    </x:row>
    <x:row r="122">
      <x:c r="A122" s="17" t="n">
        <x:v>121</x:v>
      </x:c>
      <x:c r="B122" s="17" t="str">
        <x:v>MOBILE_EVENT_FUNNEL</x:v>
      </x:c>
      <x:c r="C122" s="20" t="n">
        <x:v>46150</x:v>
      </x:c>
      <x:c r="D122" s="17" t="str">
        <x:v>Mobile Web</x:v>
      </x:c>
      <x:c r="E122" s="17" t="str">
        <x:v>Mobile</x:v>
      </x:c>
      <x:c r="F122" s="17" t="str">
        <x:v>Search Organic Generic</x:v>
      </x:c>
      <x:c r="G122" s="17" t="n">
        <x:v>28</x:v>
      </x:c>
      <x:c r="H122" s="17" t="str">
        <x:v>SAMSUNG</x:v>
      </x:c>
      <x:c r="I122" s="17" t="str">
        <x:v>Telefon</x:v>
      </x:c>
      <x:c r="J122" s="17" t="str">
        <x:v>Cep Telefonları</x:v>
      </x:c>
      <x:c r="K122" s="17" t="str">
        <x:v>SAMSUNG Galaxy S25 FE 5G 8/256 GB Akıllı Telefon Gece Siyahı</x:v>
      </x:c>
      <x:c r="L122" s="17" t="str">
        <x:v>1249061</x:v>
      </x:c>
      <x:c r="M122" s="22" t="n">
        <x:v>34953</x:v>
      </x:c>
      <x:c r="N122" s="26" t="n">
        <x:v>2.6</x:v>
      </x:c>
      <x:c r="O122" s="22" t="n">
        <x:v>234</x:v>
      </x:c>
      <x:c r="P122" s="22" t="n">
        <x:v>336</x:v>
      </x:c>
      <x:c r="Q122" s="22" t="n">
        <x:v>0</x:v>
      </x:c>
      <x:c r="R122" s="17" t="n">
        <x:v>10</x:v>
      </x:c>
      <x:c r="S122" s="22" t="n">
        <x:v>24</x:v>
      </x:c>
      <x:c r="T122" s="24" t="n">
        <x:v>1.8</x:v>
      </x:c>
      <x:c r="U122" s="24" t="n">
        <x:f>IFERROR(O122/T122,0)</x:f>
        <x:v>130</x:v>
      </x:c>
      <x:c r="V122" s="17" t="str">
        <x:f>IF(O122&lt;=0,"out_of_stock",IF(U122&lt;7,"critical_low_stock",IF(U122&gt;60,"overstock","in_stock")))</x:f>
        <x:v>overstock</x:v>
      </x:c>
      <x:c r="W122" s="17" t="str">
        <x:f>IF(O122&lt;=0,"OOS",IF(AND(U122&lt;7,AC122&gt;=0.5),"High Risk",IF(U122&lt;14,"Medium Risk",IF(U122&gt;60,"Overstock","Healthy"))))</x:f>
        <x:v>Overstock</x:v>
      </x:c>
      <x:c r="X122" s="22" t="n">
        <x:v>1151</x:v>
      </x:c>
      <x:c r="Y122" s="22" t="n">
        <x:v>93</x:v>
      </x:c>
      <x:c r="Z122" s="22" t="n">
        <x:v>6</x:v>
      </x:c>
      <x:c r="AA122" s="24" t="n">
        <x:f>IFERROR(Y122/X122*100,0)</x:f>
        <x:v>8.079930495221546</x:v>
      </x:c>
      <x:c r="AB122" s="26" t="n">
        <x:v>-46.7</x:v>
      </x:c>
      <x:c r="AC122" s="24" t="n">
        <x:f>IFERROR(Z122/X122*100,0)</x:f>
        <x:v>0.5212858384013901</x:v>
      </x:c>
      <x:c r="AD122" s="26" t="n">
        <x:v>-29.1</x:v>
      </x:c>
      <x:c r="AE122" s="22" t="n">
        <x:f>IFERROR(Z122*M122,0)</x:f>
        <x:v>209718</x:v>
      </x:c>
      <x:c r="AF122" s="26" t="n">
        <x:v>-35.9</x:v>
      </x:c>
      <x:c r="AG122" s="24" t="n">
        <x:v>39.8</x:v>
      </x:c>
      <x:c r="AH122" s="26" t="n">
        <x:v>13.2</x:v>
      </x:c>
      <x:c r="AI122" s="22" t="n">
        <x:v>80</x:v>
      </x:c>
      <x:c r="AJ122" s="22" t="n">
        <x:v>61</x:v>
      </x:c>
      <x:c r="AK122" s="22" t="n">
        <x:v>32</x:v>
      </x:c>
      <x:c r="AL122" s="22" t="n">
        <x:v>23</x:v>
      </x:c>
      <x:c r="AM122" s="22" t="n">
        <x:v>13</x:v>
      </x:c>
      <x:c r="AN122" s="24" t="n">
        <x:f>IFERROR(AI122/X122*100,0)</x:f>
        <x:v>6.950477845351869</x:v>
      </x:c>
      <x:c r="AO122" s="24" t="n">
        <x:f>IFERROR(AJ122/X122*100,0)</x:f>
        <x:v>5.299739357080799</x:v>
      </x:c>
      <x:c r="AP122" s="24" t="n">
        <x:f>IFERROR(AK122/X122*100,0)</x:f>
        <x:v>2.780191138140747</x:v>
      </x:c>
      <x:c r="AQ122" s="24" t="n">
        <x:f>IFERROR(AL122/X122*100,0)</x:f>
        <x:v>1.998262380538662</x:v>
      </x:c>
      <x:c r="AR122" s="24" t="n">
        <x:f>IFERROR(AM122/X122*100,0)</x:f>
        <x:v>1.1294526498696786</x:v>
      </x:c>
      <x:c r="AS122" s="24" t="n">
        <x:f>IFERROR(Z122/X122*100,0)</x:f>
        <x:v>0.5212858384013901</x:v>
      </x:c>
      <x:c r="AT122" s="26" t="n">
        <x:v>22.9</x:v>
      </x:c>
      <x:c r="AU122" s="26" t="n">
        <x:v>-46.7</x:v>
      </x:c>
      <x:c r="AV122" s="26" t="n">
        <x:v>-63</x:v>
      </x:c>
      <x:c r="AW122" s="26" t="n">
        <x:v>-33.6</x:v>
      </x:c>
      <x:c r="AX122" s="26" t="n">
        <x:v>-29.7</x:v>
      </x:c>
      <x:c r="AY122" s="26" t="n">
        <x:v>5.4</x:v>
      </x:c>
      <x:c r="AZ122" s="26" t="n">
        <x:v>-25.5</x:v>
      </x:c>
      <x:c r="BA122" s="26" t="n">
        <x:v>-29.1</x:v>
      </x:c>
      <x:c r="BB122" s="22" t="n">
        <x:f>IFERROR(AE122/Z122,0)</x:f>
        <x:v>34953</x:v>
      </x:c>
      <x:c r="BC122" s="17" t="n">
        <x:f>IF(OR(V122="out_of_stock",V122="critical_low_stock"),MAX(0,(14-U122)*T122),0)</x:f>
        <x:v>0</x:v>
      </x:c>
      <x:c r="BD122" s="22" t="n">
        <x:f>IFERROR(BC122*M122,0)</x:f>
        <x:v>0</x:v>
      </x:c>
      <x:c r="BE122" s="17" t="str">
        <x:v>mobile_funnel_behavior</x:v>
      </x:c>
      <x:c r="BF122" s="17" t="str">
        <x:v>inspired_by_uploaded_mobile_funnel_screenshot + copied_product_context</x:v>
      </x:c>
    </x:row>
    <x:row r="123">
      <x:c r="A123" s="17" t="n">
        <x:v>122</x:v>
      </x:c>
      <x:c r="B123" s="17" t="str">
        <x:v>MOBILE_EVENT_FUNNEL</x:v>
      </x:c>
      <x:c r="C123" s="20" t="n">
        <x:v>46151</x:v>
      </x:c>
      <x:c r="D123" s="17" t="str">
        <x:v>Mobile Web</x:v>
      </x:c>
      <x:c r="E123" s="17" t="str">
        <x:v>Mobile</x:v>
      </x:c>
      <x:c r="F123" s="17" t="str">
        <x:v>Search Paid Generic</x:v>
      </x:c>
      <x:c r="G123" s="17" t="n">
        <x:v>26</x:v>
      </x:c>
      <x:c r="H123" s="17" t="str">
        <x:v>LOGITECH</x:v>
      </x:c>
      <x:c r="I123" s="17" t="str">
        <x:v>Bilgisayar</x:v>
      </x:c>
      <x:c r="J123" s="17" t="str">
        <x:v>Oyuncu Aksesuarları</x:v>
      </x:c>
      <x:c r="K123" s="17" t="str">
        <x:v>LOGITECH G Pro X2 Superstrike Kablosuz Oyuncu Mouse Beyaz 910-007777</x:v>
      </x:c>
      <x:c r="L123" s="17" t="str">
        <x:v>1252130</x:v>
      </x:c>
      <x:c r="M123" s="22" t="n">
        <x:v>2084</x:v>
      </x:c>
      <x:c r="N123" s="26" t="n">
        <x:v>-18.7</x:v>
      </x:c>
      <x:c r="O123" s="22" t="n">
        <x:v>5</x:v>
      </x:c>
      <x:c r="P123" s="22" t="n">
        <x:v>4</x:v>
      </x:c>
      <x:c r="Q123" s="22" t="n">
        <x:v>0</x:v>
      </x:c>
      <x:c r="R123" s="17" t="n">
        <x:v>3</x:v>
      </x:c>
      <x:c r="S123" s="22" t="n">
        <x:v>6</x:v>
      </x:c>
      <x:c r="T123" s="24" t="n">
        <x:v>0.9</x:v>
      </x:c>
      <x:c r="U123" s="24" t="n">
        <x:f>IFERROR(O123/T123,0)</x:f>
        <x:v>5.555555555555555</x:v>
      </x:c>
      <x:c r="V123" s="17" t="str">
        <x:f>IF(O123&lt;=0,"out_of_stock",IF(U123&lt;7,"critical_low_stock",IF(U123&gt;60,"overstock","in_stock")))</x:f>
        <x:v>critical_low_stock</x:v>
      </x:c>
      <x:c r="W123" s="17" t="str">
        <x:f>IF(O123&lt;=0,"OOS",IF(AND(U123&lt;7,AC123&gt;=0.5),"High Risk",IF(U123&lt;14,"Medium Risk",IF(U123&gt;60,"Overstock","Healthy"))))</x:f>
        <x:v>Medium Risk</x:v>
      </x:c>
      <x:c r="X123" s="22" t="n">
        <x:v>170</x:v>
      </x:c>
      <x:c r="Y123" s="22" t="n">
        <x:v>9</x:v>
      </x:c>
      <x:c r="Z123" s="22" t="n">
        <x:v>0</x:v>
      </x:c>
      <x:c r="AA123" s="24" t="n">
        <x:f>IFERROR(Y123/X123*100,0)</x:f>
        <x:v>5.294117647058823</x:v>
      </x:c>
      <x:c r="AB123" s="26" t="n">
        <x:v>-21.5</x:v>
      </x:c>
      <x:c r="AC123" s="24" t="n">
        <x:f>IFERROR(Z123/X123*100,0)</x:f>
        <x:v>0</x:v>
      </x:c>
      <x:c r="AD123" s="26" t="n">
        <x:v>29.5</x:v>
      </x:c>
      <x:c r="AE123" s="22" t="n">
        <x:f>IFERROR(Z123*M123,0)</x:f>
        <x:v>0</x:v>
      </x:c>
      <x:c r="AF123" s="26" t="n">
        <x:v>2.5</x:v>
      </x:c>
      <x:c r="AG123" s="24" t="n">
        <x:v>50.4</x:v>
      </x:c>
      <x:c r="AH123" s="26" t="n">
        <x:v>-2.3</x:v>
      </x:c>
      <x:c r="AI123" s="22" t="n">
        <x:v>5</x:v>
      </x:c>
      <x:c r="AJ123" s="22" t="n">
        <x:v>3</x:v>
      </x:c>
      <x:c r="AK123" s="22" t="n">
        <x:v>2</x:v>
      </x:c>
      <x:c r="AL123" s="22" t="n">
        <x:v>2</x:v>
      </x:c>
      <x:c r="AM123" s="22" t="n">
        <x:v>1</x:v>
      </x:c>
      <x:c r="AN123" s="24" t="n">
        <x:f>IFERROR(AI123/X123*100,0)</x:f>
        <x:v>2.941176470588235</x:v>
      </x:c>
      <x:c r="AO123" s="24" t="n">
        <x:f>IFERROR(AJ123/X123*100,0)</x:f>
        <x:v>1.7647058823529411</x:v>
      </x:c>
      <x:c r="AP123" s="24" t="n">
        <x:f>IFERROR(AK123/X123*100,0)</x:f>
        <x:v>1.1764705882352942</x:v>
      </x:c>
      <x:c r="AQ123" s="24" t="n">
        <x:f>IFERROR(AL123/X123*100,0)</x:f>
        <x:v>1.1764705882352942</x:v>
      </x:c>
      <x:c r="AR123" s="24" t="n">
        <x:f>IFERROR(AM123/X123*100,0)</x:f>
        <x:v>0.5882352941176471</x:v>
      </x:c>
      <x:c r="AS123" s="24" t="n">
        <x:f>IFERROR(Z123/X123*100,0)</x:f>
        <x:v>0</x:v>
      </x:c>
      <x:c r="AT123" s="26" t="n">
        <x:v>-16.2</x:v>
      </x:c>
      <x:c r="AU123" s="26" t="n">
        <x:v>-21.5</x:v>
      </x:c>
      <x:c r="AV123" s="26" t="n">
        <x:v>-35.7</x:v>
      </x:c>
      <x:c r="AW123" s="26" t="n">
        <x:v>-53.6</x:v>
      </x:c>
      <x:c r="AX123" s="26" t="n">
        <x:v>3.3</x:v>
      </x:c>
      <x:c r="AY123" s="26" t="n">
        <x:v>-15.3</x:v>
      </x:c>
      <x:c r="AZ123" s="26" t="n">
        <x:v>-20.9</x:v>
      </x:c>
      <x:c r="BA123" s="26" t="n">
        <x:v>29.5</x:v>
      </x:c>
      <x:c r="BB123" s="22" t="n">
        <x:f>IFERROR(AE123/Z123,0)</x:f>
        <x:v>0</x:v>
      </x:c>
      <x:c r="BC123" s="17" t="n">
        <x:f>IF(OR(V123="out_of_stock",V123="critical_low_stock"),MAX(0,(14-U123)*T123),0)</x:f>
        <x:v>7.6000000000000005</x:v>
      </x:c>
      <x:c r="BD123" s="22" t="n">
        <x:f>IFERROR(BC123*M123,0)</x:f>
        <x:v>15838.400000000001</x:v>
      </x:c>
      <x:c r="BE123" s="17" t="str">
        <x:v>mobile_funnel_behavior</x:v>
      </x:c>
      <x:c r="BF123" s="17" t="str">
        <x:v>inspired_by_uploaded_mobile_funnel_screenshot + copied_product_context</x:v>
      </x:c>
    </x:row>
    <x:row r="124">
      <x:c r="A124" s="17" t="n">
        <x:v>123</x:v>
      </x:c>
      <x:c r="B124" s="17" t="str">
        <x:v>MOBILE_EVENT_FUNNEL</x:v>
      </x:c>
      <x:c r="C124" s="20" t="n">
        <x:v>46152</x:v>
      </x:c>
      <x:c r="D124" s="17" t="str">
        <x:v>Mobile Web</x:v>
      </x:c>
      <x:c r="E124" s="17" t="str">
        <x:v>Mobile</x:v>
      </x:c>
      <x:c r="F124" s="17" t="str">
        <x:v>Social Paid</x:v>
      </x:c>
      <x:c r="G124" s="17" t="n">
        <x:v>26</x:v>
      </x:c>
      <x:c r="H124" s="17" t="str">
        <x:v>LOGITECH</x:v>
      </x:c>
      <x:c r="I124" s="17" t="str">
        <x:v>Bilgisayar</x:v>
      </x:c>
      <x:c r="J124" s="17" t="str">
        <x:v>Oyuncu Aksesuarları</x:v>
      </x:c>
      <x:c r="K124" s="17" t="str">
        <x:v>LOGITECH G Pro X Superlight 2 Oyuncu Mouse Siyah</x:v>
      </x:c>
      <x:c r="L124" s="17" t="str">
        <x:v>SYN9002</x:v>
      </x:c>
      <x:c r="M124" s="22" t="n">
        <x:v>4821</x:v>
      </x:c>
      <x:c r="N124" s="26" t="n">
        <x:v>12.6</x:v>
      </x:c>
      <x:c r="O124" s="22" t="n">
        <x:v>0</x:v>
      </x:c>
      <x:c r="P124" s="22" t="n">
        <x:v>0</x:v>
      </x:c>
      <x:c r="Q124" s="22" t="n">
        <x:v>70</x:v>
      </x:c>
      <x:c r="R124" s="17" t="n">
        <x:v>14</x:v>
      </x:c>
      <x:c r="S124" s="22" t="n">
        <x:v>41</x:v>
      </x:c>
      <x:c r="T124" s="24" t="n">
        <x:v>2.4</x:v>
      </x:c>
      <x:c r="U124" s="24" t="n">
        <x:f>IFERROR(O124/T124,0)</x:f>
        <x:v>0</x:v>
      </x:c>
      <x:c r="V124" s="17" t="str">
        <x:f>IF(O124&lt;=0,"out_of_stock",IF(U124&lt;7,"critical_low_stock",IF(U124&gt;60,"overstock","in_stock")))</x:f>
        <x:v>out_of_stock</x:v>
      </x:c>
      <x:c r="W124" s="17" t="str">
        <x:f>IF(O124&lt;=0,"OOS",IF(AND(U124&lt;7,AC124&gt;=0.5),"High Risk",IF(U124&lt;14,"Medium Risk",IF(U124&gt;60,"Overstock","Healthy"))))</x:f>
        <x:v>OOS</x:v>
      </x:c>
      <x:c r="X124" s="22" t="n">
        <x:v>1042</x:v>
      </x:c>
      <x:c r="Y124" s="22" t="n">
        <x:v>52</x:v>
      </x:c>
      <x:c r="Z124" s="22" t="n">
        <x:v>8</x:v>
      </x:c>
      <x:c r="AA124" s="24" t="n">
        <x:f>IFERROR(Y124/X124*100,0)</x:f>
        <x:v>4.990403071017274</x:v>
      </x:c>
      <x:c r="AB124" s="26" t="n">
        <x:v>-20.9</x:v>
      </x:c>
      <x:c r="AC124" s="24" t="n">
        <x:f>IFERROR(Z124/X124*100,0)</x:f>
        <x:v>0.7677543186180422</x:v>
      </x:c>
      <x:c r="AD124" s="26" t="n">
        <x:v>-42.2</x:v>
      </x:c>
      <x:c r="AE124" s="22" t="n">
        <x:f>IFERROR(Z124*M124,0)</x:f>
        <x:v>38568</x:v>
      </x:c>
      <x:c r="AF124" s="26" t="n">
        <x:v>-21.2</x:v>
      </x:c>
      <x:c r="AG124" s="24" t="n">
        <x:v>46.3</x:v>
      </x:c>
      <x:c r="AH124" s="26" t="n">
        <x:v>10.3</x:v>
      </x:c>
      <x:c r="AI124" s="22" t="n">
        <x:v>39</x:v>
      </x:c>
      <x:c r="AJ124" s="22" t="n">
        <x:v>25</x:v>
      </x:c>
      <x:c r="AK124" s="22" t="n">
        <x:v>21</x:v>
      </x:c>
      <x:c r="AL124" s="22" t="n">
        <x:v>18</x:v>
      </x:c>
      <x:c r="AM124" s="22" t="n">
        <x:v>12</x:v>
      </x:c>
      <x:c r="AN124" s="24" t="n">
        <x:f>IFERROR(AI124/X124*100,0)</x:f>
        <x:v>3.742802303262956</x:v>
      </x:c>
      <x:c r="AO124" s="24" t="n">
        <x:f>IFERROR(AJ124/X124*100,0)</x:f>
        <x:v>2.399232245681382</x:v>
      </x:c>
      <x:c r="AP124" s="24" t="n">
        <x:f>IFERROR(AK124/X124*100,0)</x:f>
        <x:v>2.015355086372361</x:v>
      </x:c>
      <x:c r="AQ124" s="24" t="n">
        <x:f>IFERROR(AL124/X124*100,0)</x:f>
        <x:v>1.727447216890595</x:v>
      </x:c>
      <x:c r="AR124" s="24" t="n">
        <x:f>IFERROR(AM124/X124*100,0)</x:f>
        <x:v>1.1516314779270633</x:v>
      </x:c>
      <x:c r="AS124" s="24" t="n">
        <x:f>IFERROR(Z124/X124*100,0)</x:f>
        <x:v>0.7677543186180422</x:v>
      </x:c>
      <x:c r="AT124" s="26" t="n">
        <x:v>2.7</x:v>
      </x:c>
      <x:c r="AU124" s="26" t="n">
        <x:v>-20.9</x:v>
      </x:c>
      <x:c r="AV124" s="26" t="n">
        <x:v>20.7</x:v>
      </x:c>
      <x:c r="AW124" s="26" t="n">
        <x:v>-102.9</x:v>
      </x:c>
      <x:c r="AX124" s="26" t="n">
        <x:v>-3.5</x:v>
      </x:c>
      <x:c r="AY124" s="26" t="n">
        <x:v>-19.3</x:v>
      </x:c>
      <x:c r="AZ124" s="26" t="n">
        <x:v>12.7</x:v>
      </x:c>
      <x:c r="BA124" s="26" t="n">
        <x:v>-42.2</x:v>
      </x:c>
      <x:c r="BB124" s="22" t="n">
        <x:f>IFERROR(AE124/Z124,0)</x:f>
        <x:v>4821</x:v>
      </x:c>
      <x:c r="BC124" s="17" t="n">
        <x:f>IF(OR(V124="out_of_stock",V124="critical_low_stock"),MAX(0,(14-U124)*T124),0)</x:f>
        <x:v>33.6</x:v>
      </x:c>
      <x:c r="BD124" s="22" t="n">
        <x:f>IFERROR(BC124*M124,0)</x:f>
        <x:v>161985.6</x:v>
      </x:c>
      <x:c r="BE124" s="17" t="str">
        <x:v>mobile_funnel_behavior</x:v>
      </x:c>
      <x:c r="BF124" s="17" t="str">
        <x:v>inspired_by_uploaded_mobile_funnel_screenshot + copied_product_context</x:v>
      </x:c>
    </x:row>
    <x:row r="125">
      <x:c r="A125" s="17" t="n">
        <x:v>124</x:v>
      </x:c>
      <x:c r="B125" s="17" t="str">
        <x:v>MOBILE_EVENT_FUNNEL</x:v>
      </x:c>
      <x:c r="C125" s="20" t="n">
        <x:v>46153</x:v>
      </x:c>
      <x:c r="D125" s="17" t="str">
        <x:v>Mobile Web</x:v>
      </x:c>
      <x:c r="E125" s="17" t="str">
        <x:v>Mobile</x:v>
      </x:c>
      <x:c r="F125" s="17" t="str">
        <x:v>Direct</x:v>
      </x:c>
      <x:c r="G125" s="17" t="n">
        <x:v>99</x:v>
      </x:c>
      <x:c r="H125" s="17" t="str">
        <x:v>PHILIPS</x:v>
      </x:c>
      <x:c r="I125" s="17" t="str">
        <x:v>Other</x:v>
      </x:c>
      <x:c r="J125" s="17" t="str">
        <x:v>Other</x:v>
      </x:c>
      <x:c r="K125" s="17" t="str">
        <x:v>PHILIPS Lumea BRI924/00 Lazer IPL Cihazı</x:v>
      </x:c>
      <x:c r="L125" s="17" t="str">
        <x:v>1252963</x:v>
      </x:c>
      <x:c r="M125" s="22" t="n">
        <x:v>21260</x:v>
      </x:c>
      <x:c r="N125" s="26" t="n">
        <x:v>-13.2</x:v>
      </x:c>
      <x:c r="O125" s="22" t="n">
        <x:v>83</x:v>
      </x:c>
      <x:c r="P125" s="22" t="n">
        <x:v>83</x:v>
      </x:c>
      <x:c r="Q125" s="22" t="n">
        <x:v>0</x:v>
      </x:c>
      <x:c r="R125" s="17" t="n">
        <x:v>3</x:v>
      </x:c>
      <x:c r="S125" s="22" t="n">
        <x:v>5</x:v>
      </x:c>
      <x:c r="T125" s="24" t="n">
        <x:v>0.8</x:v>
      </x:c>
      <x:c r="U125" s="24" t="n">
        <x:f>IFERROR(O125/T125,0)</x:f>
        <x:v>103.75</x:v>
      </x:c>
      <x:c r="V125" s="17" t="str">
        <x:f>IF(O125&lt;=0,"out_of_stock",IF(U125&lt;7,"critical_low_stock",IF(U125&gt;60,"overstock","in_stock")))</x:f>
        <x:v>overstock</x:v>
      </x:c>
      <x:c r="W125" s="17" t="str">
        <x:f>IF(O125&lt;=0,"OOS",IF(AND(U125&lt;7,AC125&gt;=0.5),"High Risk",IF(U125&lt;14,"Medium Risk",IF(U125&gt;60,"Overstock","Healthy"))))</x:f>
        <x:v>Overstock</x:v>
      </x:c>
      <x:c r="X125" s="22" t="n">
        <x:v>155</x:v>
      </x:c>
      <x:c r="Y125" s="22" t="n">
        <x:v>2</x:v>
      </x:c>
      <x:c r="Z125" s="22" t="n">
        <x:v>1</x:v>
      </x:c>
      <x:c r="AA125" s="24" t="n">
        <x:f>IFERROR(Y125/X125*100,0)</x:f>
        <x:v>1.2903225806451613</x:v>
      </x:c>
      <x:c r="AB125" s="26" t="n">
        <x:v>-77.4</x:v>
      </x:c>
      <x:c r="AC125" s="24" t="n">
        <x:f>IFERROR(Z125/X125*100,0)</x:f>
        <x:v>0.6451612903225806</x:v>
      </x:c>
      <x:c r="AD125" s="26" t="n">
        <x:v>14.3</x:v>
      </x:c>
      <x:c r="AE125" s="22" t="n">
        <x:f>IFERROR(Z125*M125,0)</x:f>
        <x:v>21260</x:v>
      </x:c>
      <x:c r="AF125" s="26" t="n">
        <x:v>3.8</x:v>
      </x:c>
      <x:c r="AG125" s="24" t="n">
        <x:v>49.1</x:v>
      </x:c>
      <x:c r="AH125" s="26" t="n">
        <x:v>11.5</x:v>
      </x:c>
      <x:c r="AI125" s="22" t="n">
        <x:v>1</x:v>
      </x:c>
      <x:c r="AJ125" s="22" t="n">
        <x:v>1</x:v>
      </x:c>
      <x:c r="AK125" s="22" t="n">
        <x:v>1</x:v>
      </x:c>
      <x:c r="AL125" s="22" t="n">
        <x:v>1</x:v>
      </x:c>
      <x:c r="AM125" s="22" t="n">
        <x:v>1</x:v>
      </x:c>
      <x:c r="AN125" s="24" t="n">
        <x:f>IFERROR(AI125/X125*100,0)</x:f>
        <x:v>0.6451612903225806</x:v>
      </x:c>
      <x:c r="AO125" s="24" t="n">
        <x:f>IFERROR(AJ125/X125*100,0)</x:f>
        <x:v>0.6451612903225806</x:v>
      </x:c>
      <x:c r="AP125" s="24" t="n">
        <x:f>IFERROR(AK125/X125*100,0)</x:f>
        <x:v>0.6451612903225806</x:v>
      </x:c>
      <x:c r="AQ125" s="24" t="n">
        <x:f>IFERROR(AL125/X125*100,0)</x:f>
        <x:v>0.6451612903225806</x:v>
      </x:c>
      <x:c r="AR125" s="24" t="n">
        <x:f>IFERROR(AM125/X125*100,0)</x:f>
        <x:v>0.6451612903225806</x:v>
      </x:c>
      <x:c r="AS125" s="24" t="n">
        <x:f>IFERROR(Z125/X125*100,0)</x:f>
        <x:v>0.6451612903225806</x:v>
      </x:c>
      <x:c r="AT125" s="26" t="n">
        <x:v>-4.9</x:v>
      </x:c>
      <x:c r="AU125" s="26" t="n">
        <x:v>-77.4</x:v>
      </x:c>
      <x:c r="AV125" s="26" t="n">
        <x:v>-57.9</x:v>
      </x:c>
      <x:c r="AW125" s="26" t="n">
        <x:v>-32</x:v>
      </x:c>
      <x:c r="AX125" s="26" t="n">
        <x:v>23.7</x:v>
      </x:c>
      <x:c r="AY125" s="26" t="n">
        <x:v>-37.6</x:v>
      </x:c>
      <x:c r="AZ125" s="26" t="n">
        <x:v>22.2</x:v>
      </x:c>
      <x:c r="BA125" s="26" t="n">
        <x:v>14.3</x:v>
      </x:c>
      <x:c r="BB125" s="22" t="n">
        <x:f>IFERROR(AE125/Z125,0)</x:f>
        <x:v>21260</x:v>
      </x:c>
      <x:c r="BC125" s="17" t="n">
        <x:f>IF(OR(V125="out_of_stock",V125="critical_low_stock"),MAX(0,(14-U125)*T125),0)</x:f>
        <x:v>0</x:v>
      </x:c>
      <x:c r="BD125" s="22" t="n">
        <x:f>IFERROR(BC125*M125,0)</x:f>
        <x:v>0</x:v>
      </x:c>
      <x:c r="BE125" s="17" t="str">
        <x:v>mobile_funnel_behavior</x:v>
      </x:c>
      <x:c r="BF125" s="17" t="str">
        <x:v>inspired_by_uploaded_mobile_funnel_screenshot + copied_product_context</x:v>
      </x:c>
    </x:row>
    <x:row r="126">
      <x:c r="A126" s="17" t="n">
        <x:v>125</x:v>
      </x:c>
      <x:c r="B126" s="17" t="str">
        <x:v>MOBILE_EVENT_FUNNEL</x:v>
      </x:c>
      <x:c r="C126" s="20" t="n">
        <x:v>46154</x:v>
      </x:c>
      <x:c r="D126" s="17" t="str">
        <x:v>Mobile Web</x:v>
      </x:c>
      <x:c r="E126" s="17" t="str">
        <x:v>Mobile</x:v>
      </x:c>
      <x:c r="F126" s="17" t="str">
        <x:v>Social Paid</x:v>
      </x:c>
      <x:c r="G126" s="17" t="n">
        <x:v>28</x:v>
      </x:c>
      <x:c r="H126" s="17" t="str">
        <x:v>APPLE</x:v>
      </x:c>
      <x:c r="I126" s="17" t="str">
        <x:v>Telefon</x:v>
      </x:c>
      <x:c r="J126" s="17" t="str">
        <x:v>Cep Telefonları</x:v>
      </x:c>
      <x:c r="K126" s="17" t="str">
        <x:v>APPLE iPhone 15 256 GB Akıllı Telefon Siyah MTP63TU/A</x:v>
      </x:c>
      <x:c r="L126" s="17" t="str">
        <x:v>1232440</x:v>
      </x:c>
      <x:c r="M126" s="22" t="n">
        <x:v>47074</x:v>
      </x:c>
      <x:c r="N126" s="26" t="n">
        <x:v>22.6</x:v>
      </x:c>
      <x:c r="O126" s="22" t="n">
        <x:v>0</x:v>
      </x:c>
      <x:c r="P126" s="22" t="n">
        <x:v>0</x:v>
      </x:c>
      <x:c r="Q126" s="22" t="n">
        <x:v>0</x:v>
      </x:c>
      <x:c r="R126" s="17" t="n">
        <x:v>21</x:v>
      </x:c>
      <x:c r="S126" s="22" t="n">
        <x:v>106</x:v>
      </x:c>
      <x:c r="T126" s="24" t="n">
        <x:v>4.4</x:v>
      </x:c>
      <x:c r="U126" s="24" t="n">
        <x:f>IFERROR(O126/T126,0)</x:f>
        <x:v>0</x:v>
      </x:c>
      <x:c r="V126" s="17" t="str">
        <x:f>IF(O126&lt;=0,"out_of_stock",IF(U126&lt;7,"critical_low_stock",IF(U126&gt;60,"overstock","in_stock")))</x:f>
        <x:v>out_of_stock</x:v>
      </x:c>
      <x:c r="W126" s="17" t="str">
        <x:f>IF(O126&lt;=0,"OOS",IF(AND(U126&lt;7,AC126&gt;=0.5),"High Risk",IF(U126&lt;14,"Medium Risk",IF(U126&gt;60,"Overstock","Healthy"))))</x:f>
        <x:v>OOS</x:v>
      </x:c>
      <x:c r="X126" s="22" t="n">
        <x:v>2713</x:v>
      </x:c>
      <x:c r="Y126" s="22" t="n">
        <x:v>184</x:v>
      </x:c>
      <x:c r="Z126" s="22" t="n">
        <x:v>22</x:v>
      </x:c>
      <x:c r="AA126" s="24" t="n">
        <x:f>IFERROR(Y126/X126*100,0)</x:f>
        <x:v>6.782159970512349</x:v>
      </x:c>
      <x:c r="AB126" s="26" t="n">
        <x:v>-43.9</x:v>
      </x:c>
      <x:c r="AC126" s="24" t="n">
        <x:f>IFERROR(Z126/X126*100,0)</x:f>
        <x:v>0.8109104312569112</x:v>
      </x:c>
      <x:c r="AD126" s="26" t="n">
        <x:v>13.4</x:v>
      </x:c>
      <x:c r="AE126" s="22" t="n">
        <x:f>IFERROR(Z126*M126,0)</x:f>
        <x:v>1035628</x:v>
      </x:c>
      <x:c r="AF126" s="26" t="n">
        <x:v>44.2</x:v>
      </x:c>
      <x:c r="AG126" s="24" t="n">
        <x:v>36.6</x:v>
      </x:c>
      <x:c r="AH126" s="26" t="n">
        <x:v>8.3</x:v>
      </x:c>
      <x:c r="AI126" s="22" t="n">
        <x:v>162</x:v>
      </x:c>
      <x:c r="AJ126" s="22" t="n">
        <x:v>115</x:v>
      </x:c>
      <x:c r="AK126" s="22" t="n">
        <x:v>78</x:v>
      </x:c>
      <x:c r="AL126" s="22" t="n">
        <x:v>60</x:v>
      </x:c>
      <x:c r="AM126" s="22" t="n">
        <x:v>35</x:v>
      </x:c>
      <x:c r="AN126" s="24" t="n">
        <x:f>IFERROR(AI126/X126*100,0)</x:f>
        <x:v>5.971249539255437</x:v>
      </x:c>
      <x:c r="AO126" s="24" t="n">
        <x:f>IFERROR(AJ126/X126*100,0)</x:f>
        <x:v>4.238849981570217</x:v>
      </x:c>
      <x:c r="AP126" s="24" t="n">
        <x:f>IFERROR(AK126/X126*100,0)</x:f>
        <x:v>2.8750460744563213</x:v>
      </x:c>
      <x:c r="AQ126" s="24" t="n">
        <x:f>IFERROR(AL126/X126*100,0)</x:f>
        <x:v>2.2115739034279396</x:v>
      </x:c>
      <x:c r="AR126" s="24" t="n">
        <x:f>IFERROR(AM126/X126*100,0)</x:f>
        <x:v>1.2900847769996313</x:v>
      </x:c>
      <x:c r="AS126" s="24" t="n">
        <x:f>IFERROR(Z126/X126*100,0)</x:f>
        <x:v>0.8109104312569112</x:v>
      </x:c>
      <x:c r="AT126" s="26" t="n">
        <x:v>7</x:v>
      </x:c>
      <x:c r="AU126" s="26" t="n">
        <x:v>-43.9</x:v>
      </x:c>
      <x:c r="AV126" s="26" t="n">
        <x:v>-11.8</x:v>
      </x:c>
      <x:c r="AW126" s="26" t="n">
        <x:v>-42.5</x:v>
      </x:c>
      <x:c r="AX126" s="26" t="n">
        <x:v>-53.7</x:v>
      </x:c>
      <x:c r="AY126" s="26" t="n">
        <x:v>3.1</x:v>
      </x:c>
      <x:c r="AZ126" s="26" t="n">
        <x:v>-71.4</x:v>
      </x:c>
      <x:c r="BA126" s="26" t="n">
        <x:v>13.4</x:v>
      </x:c>
      <x:c r="BB126" s="22" t="n">
        <x:f>IFERROR(AE126/Z126,0)</x:f>
        <x:v>47074</x:v>
      </x:c>
      <x:c r="BC126" s="17" t="n">
        <x:f>IF(OR(V126="out_of_stock",V126="critical_low_stock"),MAX(0,(14-U126)*T126),0)</x:f>
        <x:v>61.60000000000001</x:v>
      </x:c>
      <x:c r="BD126" s="22" t="n">
        <x:f>IFERROR(BC126*M126,0)</x:f>
        <x:v>2899758.4000000004</x:v>
      </x:c>
      <x:c r="BE126" s="17" t="str">
        <x:v>mobile_funnel_behavior</x:v>
      </x:c>
      <x:c r="BF126" s="17" t="str">
        <x:v>inspired_by_uploaded_mobile_funnel_screenshot + copied_product_context</x:v>
      </x:c>
    </x:row>
    <x:row r="127">
      <x:c r="A127" s="17" t="n">
        <x:v>126</x:v>
      </x:c>
      <x:c r="B127" s="17" t="str">
        <x:v>MOBILE_EVENT_FUNNEL</x:v>
      </x:c>
      <x:c r="C127" s="20" t="n">
        <x:v>46155</x:v>
      </x:c>
      <x:c r="D127" s="17" t="str">
        <x:v>Mobile Web</x:v>
      </x:c>
      <x:c r="E127" s="17" t="str">
        <x:v>Mobile</x:v>
      </x:c>
      <x:c r="F127" s="17" t="str">
        <x:v>Search Organic Brand</x:v>
      </x:c>
      <x:c r="G127" s="17" t="n">
        <x:v>7</x:v>
      </x:c>
      <x:c r="H127" s="17" t="str">
        <x:v>APPLE</x:v>
      </x:c>
      <x:c r="I127" s="17" t="str">
        <x:v>Telefon</x:v>
      </x:c>
      <x:c r="J127" s="17" t="str">
        <x:v>Kulaklıklar</x:v>
      </x:c>
      <x:c r="K127" s="17" t="str">
        <x:v>APPLE Airpods Pro 3 Bluetooth Kulak İçi Kulaklık MFHP4TU/A</x:v>
      </x:c>
      <x:c r="L127" s="17" t="str">
        <x:v>1249259</x:v>
      </x:c>
      <x:c r="M127" s="22" t="n">
        <x:v>11973</x:v>
      </x:c>
      <x:c r="N127" s="26" t="n">
        <x:v>-13.6</x:v>
      </x:c>
      <x:c r="O127" s="22" t="n">
        <x:v>44</x:v>
      </x:c>
      <x:c r="P127" s="22" t="n">
        <x:v>32</x:v>
      </x:c>
      <x:c r="Q127" s="22" t="n">
        <x:v>0</x:v>
      </x:c>
      <x:c r="R127" s="17" t="n">
        <x:v>3</x:v>
      </x:c>
      <x:c r="S127" s="22" t="n">
        <x:v>11</x:v>
      </x:c>
      <x:c r="T127" s="24" t="n">
        <x:v>1.8</x:v>
      </x:c>
      <x:c r="U127" s="24" t="n">
        <x:f>IFERROR(O127/T127,0)</x:f>
        <x:v>24.444444444444443</x:v>
      </x:c>
      <x:c r="V127" s="17" t="str">
        <x:f>IF(O127&lt;=0,"out_of_stock",IF(U127&lt;7,"critical_low_stock",IF(U127&gt;60,"overstock","in_stock")))</x:f>
        <x:v>in_stock</x:v>
      </x:c>
      <x:c r="W127" s="17" t="str">
        <x:f>IF(O127&lt;=0,"OOS",IF(AND(U127&lt;7,AC127&gt;=0.5),"High Risk",IF(U127&lt;14,"Medium Risk",IF(U127&gt;60,"Overstock","Healthy"))))</x:f>
        <x:v>Healthy</x:v>
      </x:c>
      <x:c r="X127" s="22" t="n">
        <x:v>2022</x:v>
      </x:c>
      <x:c r="Y127" s="22" t="n">
        <x:v>229</x:v>
      </x:c>
      <x:c r="Z127" s="22" t="n">
        <x:v>5</x:v>
      </x:c>
      <x:c r="AA127" s="24" t="n">
        <x:f>IFERROR(Y127/X127*100,0)</x:f>
        <x:v>11.32542037586548</x:v>
      </x:c>
      <x:c r="AB127" s="26" t="n">
        <x:v>-38.1</x:v>
      </x:c>
      <x:c r="AC127" s="24" t="n">
        <x:f>IFERROR(Z127/X127*100,0)</x:f>
        <x:v>0.2472799208704253</x:v>
      </x:c>
      <x:c r="AD127" s="26" t="n">
        <x:v>-111.5</x:v>
      </x:c>
      <x:c r="AE127" s="22" t="n">
        <x:f>IFERROR(Z127*M127,0)</x:f>
        <x:v>59865</x:v>
      </x:c>
      <x:c r="AF127" s="26" t="n">
        <x:v>-95</x:v>
      </x:c>
      <x:c r="AG127" s="24" t="n">
        <x:v>59.6</x:v>
      </x:c>
      <x:c r="AH127" s="26" t="n">
        <x:v>-8</x:v>
      </x:c>
      <x:c r="AI127" s="22" t="n">
        <x:v>92</x:v>
      </x:c>
      <x:c r="AJ127" s="22" t="n">
        <x:v>44</x:v>
      </x:c>
      <x:c r="AK127" s="22" t="n">
        <x:v>22</x:v>
      </x:c>
      <x:c r="AL127" s="22" t="n">
        <x:v>19</x:v>
      </x:c>
      <x:c r="AM127" s="22" t="n">
        <x:v>14</x:v>
      </x:c>
      <x:c r="AN127" s="24" t="n">
        <x:f>IFERROR(AI127/X127*100,0)</x:f>
        <x:v>4.549950544015826</x:v>
      </x:c>
      <x:c r="AO127" s="24" t="n">
        <x:f>IFERROR(AJ127/X127*100,0)</x:f>
        <x:v>2.1760633036597428</x:v>
      </x:c>
      <x:c r="AP127" s="24" t="n">
        <x:f>IFERROR(AK127/X127*100,0)</x:f>
        <x:v>1.0880316518298714</x:v>
      </x:c>
      <x:c r="AQ127" s="24" t="n">
        <x:f>IFERROR(AL127/X127*100,0)</x:f>
        <x:v>0.9396636993076163</x:v>
      </x:c>
      <x:c r="AR127" s="24" t="n">
        <x:f>IFERROR(AM127/X127*100,0)</x:f>
        <x:v>0.6923837784371909</x:v>
      </x:c>
      <x:c r="AS127" s="24" t="n">
        <x:f>IFERROR(Z127/X127*100,0)</x:f>
        <x:v>0.2472799208704253</x:v>
      </x:c>
      <x:c r="AT127" s="26" t="n">
        <x:v>-2.3</x:v>
      </x:c>
      <x:c r="AU127" s="26" t="n">
        <x:v>-38.1</x:v>
      </x:c>
      <x:c r="AV127" s="26" t="n">
        <x:v>-19.4</x:v>
      </x:c>
      <x:c r="AW127" s="26" t="n">
        <x:v>9.8</x:v>
      </x:c>
      <x:c r="AX127" s="26" t="n">
        <x:v>27.7</x:v>
      </x:c>
      <x:c r="AY127" s="26" t="n">
        <x:v>-10.4</x:v>
      </x:c>
      <x:c r="AZ127" s="26" t="n">
        <x:v>3.9</x:v>
      </x:c>
      <x:c r="BA127" s="26" t="n">
        <x:v>-111.5</x:v>
      </x:c>
      <x:c r="BB127" s="22" t="n">
        <x:f>IFERROR(AE127/Z127,0)</x:f>
        <x:v>11973</x:v>
      </x:c>
      <x:c r="BC127" s="17" t="n">
        <x:f>IF(OR(V127="out_of_stock",V127="critical_low_stock"),MAX(0,(14-U127)*T127),0)</x:f>
        <x:v>0</x:v>
      </x:c>
      <x:c r="BD127" s="22" t="n">
        <x:f>IFERROR(BC127*M127,0)</x:f>
        <x:v>0</x:v>
      </x:c>
      <x:c r="BE127" s="17" t="str">
        <x:v>mobile_funnel_behavior</x:v>
      </x:c>
      <x:c r="BF127" s="17" t="str">
        <x:v>inspired_by_uploaded_mobile_funnel_screenshot + copied_product_context</x:v>
      </x:c>
    </x:row>
    <x:row r="128">
      <x:c r="A128" s="17" t="n">
        <x:v>127</x:v>
      </x:c>
      <x:c r="B128" s="17" t="str">
        <x:v>MOBILE_EVENT_FUNNEL</x:v>
      </x:c>
      <x:c r="C128" s="20" t="n">
        <x:v>46156</x:v>
      </x:c>
      <x:c r="D128" s="17" t="str">
        <x:v>Mobile Web</x:v>
      </x:c>
      <x:c r="E128" s="17" t="str">
        <x:v>Mobile</x:v>
      </x:c>
      <x:c r="F128" s="17" t="str">
        <x:v>Search Organic Brand</x:v>
      </x:c>
      <x:c r="G128" s="17" t="n">
        <x:v>26</x:v>
      </x:c>
      <x:c r="H128" s="17" t="str">
        <x:v>LOGITECH</x:v>
      </x:c>
      <x:c r="I128" s="17" t="str">
        <x:v>Bilgisayar</x:v>
      </x:c>
      <x:c r="J128" s="17" t="str">
        <x:v>Oyuncu Aksesuarları</x:v>
      </x:c>
      <x:c r="K128" s="17" t="str">
        <x:v>LOGITECH G G733 Lightspeed RGB Kablosuz 7.1 Surround Ses Oyuncu Kulaklığı - Siyah</x:v>
      </x:c>
      <x:c r="L128" s="17" t="str">
        <x:v>1212895</x:v>
      </x:c>
      <x:c r="M128" s="22" t="n">
        <x:v>6358</x:v>
      </x:c>
      <x:c r="N128" s="26" t="n">
        <x:v>3.4</x:v>
      </x:c>
      <x:c r="O128" s="22" t="n">
        <x:v>52</x:v>
      </x:c>
      <x:c r="P128" s="22" t="n">
        <x:v>18</x:v>
      </x:c>
      <x:c r="Q128" s="22" t="n">
        <x:v>0</x:v>
      </x:c>
      <x:c r="R128" s="17" t="n">
        <x:v>14</x:v>
      </x:c>
      <x:c r="S128" s="22" t="n">
        <x:v>7</x:v>
      </x:c>
      <x:c r="T128" s="24" t="n">
        <x:v>0.4</x:v>
      </x:c>
      <x:c r="U128" s="24" t="n">
        <x:f>IFERROR(O128/T128,0)</x:f>
        <x:v>130</x:v>
      </x:c>
      <x:c r="V128" s="17" t="str">
        <x:f>IF(O128&lt;=0,"out_of_stock",IF(U128&lt;7,"critical_low_stock",IF(U128&gt;60,"overstock","in_stock")))</x:f>
        <x:v>overstock</x:v>
      </x:c>
      <x:c r="W128" s="17" t="str">
        <x:f>IF(O128&lt;=0,"OOS",IF(AND(U128&lt;7,AC128&gt;=0.5),"High Risk",IF(U128&lt;14,"Medium Risk",IF(U128&gt;60,"Overstock","Healthy"))))</x:f>
        <x:v>Overstock</x:v>
      </x:c>
      <x:c r="X128" s="22" t="n">
        <x:v>158</x:v>
      </x:c>
      <x:c r="Y128" s="22" t="n">
        <x:v>10</x:v>
      </x:c>
      <x:c r="Z128" s="22" t="n">
        <x:v>1</x:v>
      </x:c>
      <x:c r="AA128" s="24" t="n">
        <x:f>IFERROR(Y128/X128*100,0)</x:f>
        <x:v>6.329113924050633</x:v>
      </x:c>
      <x:c r="AB128" s="26" t="n">
        <x:v>-20.1</x:v>
      </x:c>
      <x:c r="AC128" s="24" t="n">
        <x:f>IFERROR(Z128/X128*100,0)</x:f>
        <x:v>0.6329113924050633</x:v>
      </x:c>
      <x:c r="AD128" s="26" t="n">
        <x:v>-22.6</x:v>
      </x:c>
      <x:c r="AE128" s="22" t="n">
        <x:f>IFERROR(Z128*M128,0)</x:f>
        <x:v>6358</x:v>
      </x:c>
      <x:c r="AF128" s="26" t="n">
        <x:v>-11.3</x:v>
      </x:c>
      <x:c r="AG128" s="24" t="n">
        <x:v>54.7</x:v>
      </x:c>
      <x:c r="AH128" s="26" t="n">
        <x:v>7.9</x:v>
      </x:c>
      <x:c r="AI128" s="22" t="n">
        <x:v>8</x:v>
      </x:c>
      <x:c r="AJ128" s="22" t="n">
        <x:v>3</x:v>
      </x:c>
      <x:c r="AK128" s="22" t="n">
        <x:v>2</x:v>
      </x:c>
      <x:c r="AL128" s="22" t="n">
        <x:v>2</x:v>
      </x:c>
      <x:c r="AM128" s="22" t="n">
        <x:v>1</x:v>
      </x:c>
      <x:c r="AN128" s="24" t="n">
        <x:f>IFERROR(AI128/X128*100,0)</x:f>
        <x:v>5.063291139240507</x:v>
      </x:c>
      <x:c r="AO128" s="24" t="n">
        <x:f>IFERROR(AJ128/X128*100,0)</x:f>
        <x:v>1.89873417721519</x:v>
      </x:c>
      <x:c r="AP128" s="24" t="n">
        <x:f>IFERROR(AK128/X128*100,0)</x:f>
        <x:v>1.2658227848101267</x:v>
      </x:c>
      <x:c r="AQ128" s="24" t="n">
        <x:f>IFERROR(AL128/X128*100,0)</x:f>
        <x:v>1.2658227848101267</x:v>
      </x:c>
      <x:c r="AR128" s="24" t="n">
        <x:f>IFERROR(AM128/X128*100,0)</x:f>
        <x:v>0.6329113924050633</x:v>
      </x:c>
      <x:c r="AS128" s="24" t="n">
        <x:f>IFERROR(Z128/X128*100,0)</x:f>
        <x:v>0.6329113924050633</x:v>
      </x:c>
      <x:c r="AT128" s="26" t="n">
        <x:v>12.8</x:v>
      </x:c>
      <x:c r="AU128" s="26" t="n">
        <x:v>-20.1</x:v>
      </x:c>
      <x:c r="AV128" s="26" t="n">
        <x:v>-15.4</x:v>
      </x:c>
      <x:c r="AW128" s="26" t="n">
        <x:v>13.5</x:v>
      </x:c>
      <x:c r="AX128" s="26" t="n">
        <x:v>21.8</x:v>
      </x:c>
      <x:c r="AY128" s="26" t="n">
        <x:v>-24</x:v>
      </x:c>
      <x:c r="AZ128" s="26" t="n">
        <x:v>-29.8</x:v>
      </x:c>
      <x:c r="BA128" s="26" t="n">
        <x:v>-22.6</x:v>
      </x:c>
      <x:c r="BB128" s="22" t="n">
        <x:f>IFERROR(AE128/Z128,0)</x:f>
        <x:v>6358</x:v>
      </x:c>
      <x:c r="BC128" s="17" t="n">
        <x:f>IF(OR(V128="out_of_stock",V128="critical_low_stock"),MAX(0,(14-U128)*T128),0)</x:f>
        <x:v>0</x:v>
      </x:c>
      <x:c r="BD128" s="22" t="n">
        <x:f>IFERROR(BC128*M128,0)</x:f>
        <x:v>0</x:v>
      </x:c>
      <x:c r="BE128" s="17" t="str">
        <x:v>mobile_funnel_behavior</x:v>
      </x:c>
      <x:c r="BF128" s="17" t="str">
        <x:v>inspired_by_uploaded_mobile_funnel_screenshot + copied_product_context</x:v>
      </x:c>
    </x:row>
    <x:row r="129">
      <x:c r="A129" s="17" t="n">
        <x:v>128</x:v>
      </x:c>
      <x:c r="B129" s="17" t="str">
        <x:v>MOBILE_EVENT_FUNNEL</x:v>
      </x:c>
      <x:c r="C129" s="20" t="n">
        <x:v>46143</x:v>
      </x:c>
      <x:c r="D129" s="17" t="str">
        <x:v>Mobile Web</x:v>
      </x:c>
      <x:c r="E129" s="17" t="str">
        <x:v>Mobile</x:v>
      </x:c>
      <x:c r="F129" s="17" t="str">
        <x:v>Search Paid Generic</x:v>
      </x:c>
      <x:c r="G129" s="17" t="n">
        <x:v>28</x:v>
      </x:c>
      <x:c r="H129" s="17" t="str">
        <x:v>APPLE</x:v>
      </x:c>
      <x:c r="I129" s="17" t="str">
        <x:v>Telefon</x:v>
      </x:c>
      <x:c r="J129" s="17" t="str">
        <x:v>Cep Telefonları</x:v>
      </x:c>
      <x:c r="K129" s="17" t="str">
        <x:v>APPLE iPhone 16 Pro Max 256 GB Akıllı Telefon Beyaz Titanium MYWW3TU/A</x:v>
      </x:c>
      <x:c r="L129" s="17" t="str">
        <x:v>1239589</x:v>
      </x:c>
      <x:c r="M129" s="22" t="n">
        <x:v>96454</x:v>
      </x:c>
      <x:c r="N129" s="26" t="n">
        <x:v>18.3</x:v>
      </x:c>
      <x:c r="O129" s="22" t="n">
        <x:v>93</x:v>
      </x:c>
      <x:c r="P129" s="22" t="n">
        <x:v>132</x:v>
      </x:c>
      <x:c r="Q129" s="22" t="n">
        <x:v>0</x:v>
      </x:c>
      <x:c r="R129" s="17" t="n">
        <x:v>3</x:v>
      </x:c>
      <x:c r="S129" s="22" t="n">
        <x:v>7</x:v>
      </x:c>
      <x:c r="T129" s="24" t="n">
        <x:v>1.1</x:v>
      </x:c>
      <x:c r="U129" s="24" t="n">
        <x:f>IFERROR(O129/T129,0)</x:f>
        <x:v>84.54545454545453</x:v>
      </x:c>
      <x:c r="V129" s="17" t="str">
        <x:f>IF(O129&lt;=0,"out_of_stock",IF(U129&lt;7,"critical_low_stock",IF(U129&gt;60,"overstock","in_stock")))</x:f>
        <x:v>overstock</x:v>
      </x:c>
      <x:c r="W129" s="17" t="str">
        <x:f>IF(O129&lt;=0,"OOS",IF(AND(U129&lt;7,AC129&gt;=0.5),"High Risk",IF(U129&lt;14,"Medium Risk",IF(U129&gt;60,"Overstock","Healthy"))))</x:f>
        <x:v>Overstock</x:v>
      </x:c>
      <x:c r="X129" s="22" t="n">
        <x:v>140</x:v>
      </x:c>
      <x:c r="Y129" s="22" t="n">
        <x:v>14</x:v>
      </x:c>
      <x:c r="Z129" s="22" t="n">
        <x:v>0</x:v>
      </x:c>
      <x:c r="AA129" s="24" t="n">
        <x:f>IFERROR(Y129/X129*100,0)</x:f>
        <x:v>10</x:v>
      </x:c>
      <x:c r="AB129" s="26" t="n">
        <x:v>-11.4</x:v>
      </x:c>
      <x:c r="AC129" s="24" t="n">
        <x:f>IFERROR(Z129/X129*100,0)</x:f>
        <x:v>0</x:v>
      </x:c>
      <x:c r="AD129" s="26" t="n">
        <x:v>-74.7</x:v>
      </x:c>
      <x:c r="AE129" s="22" t="n">
        <x:f>IFERROR(Z129*M129,0)</x:f>
        <x:v>0</x:v>
      </x:c>
      <x:c r="AF129" s="26" t="n">
        <x:v>-56.5</x:v>
      </x:c>
      <x:c r="AG129" s="24" t="n">
        <x:v>64.7</x:v>
      </x:c>
      <x:c r="AH129" s="26" t="n">
        <x:v>9.1</x:v>
      </x:c>
      <x:c r="AI129" s="22" t="n">
        <x:v>8</x:v>
      </x:c>
      <x:c r="AJ129" s="22" t="n">
        <x:v>4</x:v>
      </x:c>
      <x:c r="AK129" s="22" t="n">
        <x:v>3</x:v>
      </x:c>
      <x:c r="AL129" s="22" t="n">
        <x:v>2</x:v>
      </x:c>
      <x:c r="AM129" s="22" t="n">
        <x:v>1</x:v>
      </x:c>
      <x:c r="AN129" s="24" t="n">
        <x:f>IFERROR(AI129/X129*100,0)</x:f>
        <x:v>5.714285714285714</x:v>
      </x:c>
      <x:c r="AO129" s="24" t="n">
        <x:f>IFERROR(AJ129/X129*100,0)</x:f>
        <x:v>2.857142857142857</x:v>
      </x:c>
      <x:c r="AP129" s="24" t="n">
        <x:f>IFERROR(AK129/X129*100,0)</x:f>
        <x:v>2.142857142857143</x:v>
      </x:c>
      <x:c r="AQ129" s="24" t="n">
        <x:f>IFERROR(AL129/X129*100,0)</x:f>
        <x:v>1.4285714285714286</x:v>
      </x:c>
      <x:c r="AR129" s="24" t="n">
        <x:f>IFERROR(AM129/X129*100,0)</x:f>
        <x:v>0.7142857142857143</x:v>
      </x:c>
      <x:c r="AS129" s="24" t="n">
        <x:f>IFERROR(Z129/X129*100,0)</x:f>
        <x:v>0</x:v>
      </x:c>
      <x:c r="AT129" s="26" t="n">
        <x:v>-0.2</x:v>
      </x:c>
      <x:c r="AU129" s="26" t="n">
        <x:v>-11.4</x:v>
      </x:c>
      <x:c r="AV129" s="26" t="n">
        <x:v>-66.4</x:v>
      </x:c>
      <x:c r="AW129" s="26" t="n">
        <x:v>-38</x:v>
      </x:c>
      <x:c r="AX129" s="26" t="n">
        <x:v>-1.7</x:v>
      </x:c>
      <x:c r="AY129" s="26" t="n">
        <x:v>-6.2</x:v>
      </x:c>
      <x:c r="AZ129" s="26" t="n">
        <x:v>17.9</x:v>
      </x:c>
      <x:c r="BA129" s="26" t="n">
        <x:v>-74.7</x:v>
      </x:c>
      <x:c r="BB129" s="22" t="n">
        <x:f>IFERROR(AE129/Z129,0)</x:f>
        <x:v>0</x:v>
      </x:c>
      <x:c r="BC129" s="17" t="n">
        <x:f>IF(OR(V129="out_of_stock",V129="critical_low_stock"),MAX(0,(14-U129)*T129),0)</x:f>
        <x:v>0</x:v>
      </x:c>
      <x:c r="BD129" s="22" t="n">
        <x:f>IFERROR(BC129*M129,0)</x:f>
        <x:v>0</x:v>
      </x:c>
      <x:c r="BE129" s="17" t="str">
        <x:v>mobile_funnel_behavior</x:v>
      </x:c>
      <x:c r="BF129" s="17" t="str">
        <x:v>inspired_by_uploaded_mobile_funnel_screenshot + copied_product_context</x:v>
      </x:c>
    </x:row>
    <x:row r="130">
      <x:c r="A130" s="17" t="n">
        <x:v>129</x:v>
      </x:c>
      <x:c r="B130" s="17" t="str">
        <x:v>MOBILE_EVENT_FUNNEL</x:v>
      </x:c>
      <x:c r="C130" s="20" t="n">
        <x:v>46144</x:v>
      </x:c>
      <x:c r="D130" s="17" t="str">
        <x:v>Mobile Web</x:v>
      </x:c>
      <x:c r="E130" s="17" t="str">
        <x:v>Mobile</x:v>
      </x:c>
      <x:c r="F130" s="17" t="str">
        <x:v>Search Paid Generic</x:v>
      </x:c>
      <x:c r="G130" s="17" t="n">
        <x:v>28</x:v>
      </x:c>
      <x:c r="H130" s="17" t="str">
        <x:v>SAMSUNG</x:v>
      </x:c>
      <x:c r="I130" s="17" t="str">
        <x:v>Telefon</x:v>
      </x:c>
      <x:c r="J130" s="17" t="str">
        <x:v>Cep Telefonları</x:v>
      </x:c>
      <x:c r="K130" s="17" t="str">
        <x:v>SAMSUNG Galaxy A26 5G 8/256GB Akıllı Telefon Beyaz</x:v>
      </x:c>
      <x:c r="L130" s="17" t="str">
        <x:v>1245788</x:v>
      </x:c>
      <x:c r="M130" s="22" t="n">
        <x:v>37026</x:v>
      </x:c>
      <x:c r="N130" s="26" t="n">
        <x:v>0</x:v>
      </x:c>
      <x:c r="O130" s="22" t="n">
        <x:v>184</x:v>
      </x:c>
      <x:c r="P130" s="22" t="n">
        <x:v>217</x:v>
      </x:c>
      <x:c r="Q130" s="22" t="n">
        <x:v>0</x:v>
      </x:c>
      <x:c r="R130" s="17" t="n">
        <x:v>3</x:v>
      </x:c>
      <x:c r="S130" s="22" t="n">
        <x:v>14</x:v>
      </x:c>
      <x:c r="T130" s="24" t="n">
        <x:v>2.2</x:v>
      </x:c>
      <x:c r="U130" s="24" t="n">
        <x:f>IFERROR(O130/T130,0)</x:f>
        <x:v>83.63636363636363</x:v>
      </x:c>
      <x:c r="V130" s="17" t="str">
        <x:f>IF(O130&lt;=0,"out_of_stock",IF(U130&lt;7,"critical_low_stock",IF(U130&gt;60,"overstock","in_stock")))</x:f>
        <x:v>overstock</x:v>
      </x:c>
      <x:c r="W130" s="17" t="str">
        <x:f>IF(O130&lt;=0,"OOS",IF(AND(U130&lt;7,AC130&gt;=0.5),"High Risk",IF(U130&lt;14,"Medium Risk",IF(U130&gt;60,"Overstock","Healthy"))))</x:f>
        <x:v>Overstock</x:v>
      </x:c>
      <x:c r="X130" s="22" t="n">
        <x:v>730</x:v>
      </x:c>
      <x:c r="Y130" s="22" t="n">
        <x:v>63</x:v>
      </x:c>
      <x:c r="Z130" s="22" t="n">
        <x:v>11</x:v>
      </x:c>
      <x:c r="AA130" s="24" t="n">
        <x:f>IFERROR(Y130/X130*100,0)</x:f>
        <x:v>8.63013698630137</x:v>
      </x:c>
      <x:c r="AB130" s="26" t="n">
        <x:v>-32.9</x:v>
      </x:c>
      <x:c r="AC130" s="24" t="n">
        <x:f>IFERROR(Z130/X130*100,0)</x:f>
        <x:v>1.5068493150684932</x:v>
      </x:c>
      <x:c r="AD130" s="26" t="n">
        <x:v>-30.2</x:v>
      </x:c>
      <x:c r="AE130" s="22" t="n">
        <x:f>IFERROR(Z130*M130,0)</x:f>
        <x:v>407286</x:v>
      </x:c>
      <x:c r="AF130" s="26" t="n">
        <x:v>-26.2</x:v>
      </x:c>
      <x:c r="AG130" s="24" t="n">
        <x:v>35.6</x:v>
      </x:c>
      <x:c r="AH130" s="26" t="n">
        <x:v>-6.2</x:v>
      </x:c>
      <x:c r="AI130" s="22" t="n">
        <x:v>40</x:v>
      </x:c>
      <x:c r="AJ130" s="22" t="n">
        <x:v>32</x:v>
      </x:c>
      <x:c r="AK130" s="22" t="n">
        <x:v>29</x:v>
      </x:c>
      <x:c r="AL130" s="22" t="n">
        <x:v>28</x:v>
      </x:c>
      <x:c r="AM130" s="22" t="n">
        <x:v>14</x:v>
      </x:c>
      <x:c r="AN130" s="24" t="n">
        <x:f>IFERROR(AI130/X130*100,0)</x:f>
        <x:v>5.47945205479452</x:v>
      </x:c>
      <x:c r="AO130" s="24" t="n">
        <x:f>IFERROR(AJ130/X130*100,0)</x:f>
        <x:v>4.383561643835616</x:v>
      </x:c>
      <x:c r="AP130" s="24" t="n">
        <x:f>IFERROR(AK130/X130*100,0)</x:f>
        <x:v>3.9726027397260277</x:v>
      </x:c>
      <x:c r="AQ130" s="24" t="n">
        <x:f>IFERROR(AL130/X130*100,0)</x:f>
        <x:v>3.8356164383561646</x:v>
      </x:c>
      <x:c r="AR130" s="24" t="n">
        <x:f>IFERROR(AM130/X130*100,0)</x:f>
        <x:v>1.9178082191780823</x:v>
      </x:c>
      <x:c r="AS130" s="24" t="n">
        <x:f>IFERROR(Z130/X130*100,0)</x:f>
        <x:v>1.5068493150684932</x:v>
      </x:c>
      <x:c r="AT130" s="26" t="n">
        <x:v>5.3</x:v>
      </x:c>
      <x:c r="AU130" s="26" t="n">
        <x:v>-32.9</x:v>
      </x:c>
      <x:c r="AV130" s="26" t="n">
        <x:v>16</x:v>
      </x:c>
      <x:c r="AW130" s="26" t="n">
        <x:v>-15.4</x:v>
      </x:c>
      <x:c r="AX130" s="26" t="n">
        <x:v>-25.3</x:v>
      </x:c>
      <x:c r="AY130" s="26" t="n">
        <x:v>-13.1</x:v>
      </x:c>
      <x:c r="AZ130" s="26" t="n">
        <x:v>-36.7</x:v>
      </x:c>
      <x:c r="BA130" s="26" t="n">
        <x:v>-30.2</x:v>
      </x:c>
      <x:c r="BB130" s="22" t="n">
        <x:f>IFERROR(AE130/Z130,0)</x:f>
        <x:v>37026</x:v>
      </x:c>
      <x:c r="BC130" s="17" t="n">
        <x:f>IF(OR(V130="out_of_stock",V130="critical_low_stock"),MAX(0,(14-U130)*T130),0)</x:f>
        <x:v>0</x:v>
      </x:c>
      <x:c r="BD130" s="22" t="n">
        <x:f>IFERROR(BC130*M130,0)</x:f>
        <x:v>0</x:v>
      </x:c>
      <x:c r="BE130" s="17" t="str">
        <x:v>mobile_funnel_behavior</x:v>
      </x:c>
      <x:c r="BF130" s="17" t="str">
        <x:v>inspired_by_uploaded_mobile_funnel_screenshot + copied_product_context</x:v>
      </x:c>
    </x:row>
    <x:row r="131">
      <x:c r="A131" s="17" t="n">
        <x:v>130</x:v>
      </x:c>
      <x:c r="B131" s="17" t="str">
        <x:v>MOBILE_EVENT_FUNNEL</x:v>
      </x:c>
      <x:c r="C131" s="20" t="n">
        <x:v>46145</x:v>
      </x:c>
      <x:c r="D131" s="17" t="str">
        <x:v>Mobile Web</x:v>
      </x:c>
      <x:c r="E131" s="17" t="str">
        <x:v>Mobile</x:v>
      </x:c>
      <x:c r="F131" s="17" t="str">
        <x:v>Search Paid Brand</x:v>
      </x:c>
      <x:c r="G131" s="17" t="n">
        <x:v>28</x:v>
      </x:c>
      <x:c r="H131" s="17" t="str">
        <x:v>SAMSUNG</x:v>
      </x:c>
      <x:c r="I131" s="17" t="str">
        <x:v>Telefon</x:v>
      </x:c>
      <x:c r="J131" s="17" t="str">
        <x:v>Cep Telefonları</x:v>
      </x:c>
      <x:c r="K131" s="17" t="str">
        <x:v>SAMSUNG Galaxy A36 5G 8/256GB Akıllı Telefon Siyah</x:v>
      </x:c>
      <x:c r="L131" s="17" t="str">
        <x:v>1245779</x:v>
      </x:c>
      <x:c r="M131" s="22" t="n">
        <x:v>47944</x:v>
      </x:c>
      <x:c r="N131" s="26" t="n">
        <x:v>10.9</x:v>
      </x:c>
      <x:c r="O131" s="22" t="n">
        <x:v>77</x:v>
      </x:c>
      <x:c r="P131" s="22" t="n">
        <x:v>18</x:v>
      </x:c>
      <x:c r="Q131" s="22" t="n">
        <x:v>0</x:v>
      </x:c>
      <x:c r="R131" s="17" t="n">
        <x:v>21</x:v>
      </x:c>
      <x:c r="S131" s="22" t="n">
        <x:v>34</x:v>
      </x:c>
      <x:c r="T131" s="24" t="n">
        <x:v>1.4</x:v>
      </x:c>
      <x:c r="U131" s="24" t="n">
        <x:f>IFERROR(O131/T131,0)</x:f>
        <x:v>55</x:v>
      </x:c>
      <x:c r="V131" s="17" t="str">
        <x:f>IF(O131&lt;=0,"out_of_stock",IF(U131&lt;7,"critical_low_stock",IF(U131&gt;60,"overstock","in_stock")))</x:f>
        <x:v>in_stock</x:v>
      </x:c>
      <x:c r="W131" s="17" t="str">
        <x:f>IF(O131&lt;=0,"OOS",IF(AND(U131&lt;7,AC131&gt;=0.5),"High Risk",IF(U131&lt;14,"Medium Risk",IF(U131&gt;60,"Overstock","Healthy"))))</x:f>
        <x:v>Healthy</x:v>
      </x:c>
      <x:c r="X131" s="22" t="n">
        <x:v>406</x:v>
      </x:c>
      <x:c r="Y131" s="22" t="n">
        <x:v>36</x:v>
      </x:c>
      <x:c r="Z131" s="22" t="n">
        <x:v>1</x:v>
      </x:c>
      <x:c r="AA131" s="24" t="n">
        <x:f>IFERROR(Y131/X131*100,0)</x:f>
        <x:v>8.866995073891626</x:v>
      </x:c>
      <x:c r="AB131" s="26" t="n">
        <x:v>-21.3</x:v>
      </x:c>
      <x:c r="AC131" s="24" t="n">
        <x:f>IFERROR(Z131/X131*100,0)</x:f>
        <x:v>0.24630541871921183</x:v>
      </x:c>
      <x:c r="AD131" s="26" t="n">
        <x:v>-68</x:v>
      </x:c>
      <x:c r="AE131" s="22" t="n">
        <x:f>IFERROR(Z131*M131,0)</x:f>
        <x:v>47944</x:v>
      </x:c>
      <x:c r="AF131" s="26" t="n">
        <x:v>-63.6</x:v>
      </x:c>
      <x:c r="AG131" s="24" t="n">
        <x:v>50.3</x:v>
      </x:c>
      <x:c r="AH131" s="26" t="n">
        <x:v>16.8</x:v>
      </x:c>
      <x:c r="AI131" s="22" t="n">
        <x:v>5</x:v>
      </x:c>
      <x:c r="AJ131" s="22" t="n">
        <x:v>3</x:v>
      </x:c>
      <x:c r="AK131" s="22" t="n">
        <x:v>2</x:v>
      </x:c>
      <x:c r="AL131" s="22" t="n">
        <x:v>2</x:v>
      </x:c>
      <x:c r="AM131" s="22" t="n">
        <x:v>1</x:v>
      </x:c>
      <x:c r="AN131" s="24" t="n">
        <x:f>IFERROR(AI131/X131*100,0)</x:f>
        <x:v>1.2315270935960592</x:v>
      </x:c>
      <x:c r="AO131" s="24" t="n">
        <x:f>IFERROR(AJ131/X131*100,0)</x:f>
        <x:v>0.7389162561576355</x:v>
      </x:c>
      <x:c r="AP131" s="24" t="n">
        <x:f>IFERROR(AK131/X131*100,0)</x:f>
        <x:v>0.49261083743842365</x:v>
      </x:c>
      <x:c r="AQ131" s="24" t="n">
        <x:f>IFERROR(AL131/X131*100,0)</x:f>
        <x:v>0.49261083743842365</x:v>
      </x:c>
      <x:c r="AR131" s="24" t="n">
        <x:f>IFERROR(AM131/X131*100,0)</x:f>
        <x:v>0.24630541871921183</x:v>
      </x:c>
      <x:c r="AS131" s="24" t="n">
        <x:f>IFERROR(Z131/X131*100,0)</x:f>
        <x:v>0.24630541871921183</x:v>
      </x:c>
      <x:c r="AT131" s="26" t="n">
        <x:v>6.4</x:v>
      </x:c>
      <x:c r="AU131" s="26" t="n">
        <x:v>-21.3</x:v>
      </x:c>
      <x:c r="AV131" s="26" t="n">
        <x:v>-14</x:v>
      </x:c>
      <x:c r="AW131" s="26" t="n">
        <x:v>-41.8</x:v>
      </x:c>
      <x:c r="AX131" s="26" t="n">
        <x:v>-4.6</x:v>
      </x:c>
      <x:c r="AY131" s="26" t="n">
        <x:v>-15.9</x:v>
      </x:c>
      <x:c r="AZ131" s="26" t="n">
        <x:v>-31.3</x:v>
      </x:c>
      <x:c r="BA131" s="26" t="n">
        <x:v>-68</x:v>
      </x:c>
      <x:c r="BB131" s="22" t="n">
        <x:f>IFERROR(AE131/Z131,0)</x:f>
        <x:v>47944</x:v>
      </x:c>
      <x:c r="BC131" s="17" t="n">
        <x:f>IF(OR(V131="out_of_stock",V131="critical_low_stock"),MAX(0,(14-U131)*T131),0)</x:f>
        <x:v>0</x:v>
      </x:c>
      <x:c r="BD131" s="22" t="n">
        <x:f>IFERROR(BC131*M131,0)</x:f>
        <x:v>0</x:v>
      </x:c>
      <x:c r="BE131" s="17" t="str">
        <x:v>mobile_funnel_behavior</x:v>
      </x:c>
      <x:c r="BF131" s="17" t="str">
        <x:v>inspired_by_uploaded_mobile_funnel_screenshot + copied_product_context</x:v>
      </x:c>
    </x:row>
    <x:row r="132">
      <x:c r="A132" s="17" t="n">
        <x:v>131</x:v>
      </x:c>
      <x:c r="B132" s="17" t="str">
        <x:v>MOBILE_EVENT_FUNNEL</x:v>
      </x:c>
      <x:c r="C132" s="20" t="n">
        <x:v>46146</x:v>
      </x:c>
      <x:c r="D132" s="17" t="str">
        <x:v>Mobile Web</x:v>
      </x:c>
      <x:c r="E132" s="17" t="str">
        <x:v>Mobile</x:v>
      </x:c>
      <x:c r="F132" s="17" t="str">
        <x:v>Search Organic Brand</x:v>
      </x:c>
      <x:c r="G132" s="17" t="n">
        <x:v>99</x:v>
      </x:c>
      <x:c r="H132" s="17" t="str">
        <x:v>BRAUN</x:v>
      </x:c>
      <x:c r="I132" s="17" t="str">
        <x:v>Other</x:v>
      </x:c>
      <x:c r="J132" s="17" t="str">
        <x:v>Other</x:v>
      </x:c>
      <x:c r="K132" s="17" t="str">
        <x:v>BRAUN FACE FS1000 Mini Tüy Alma Cihazı Beyaz</x:v>
      </x:c>
      <x:c r="L132" s="17" t="str">
        <x:v>1215714</x:v>
      </x:c>
      <x:c r="M132" s="22" t="n">
        <x:v>17561</x:v>
      </x:c>
      <x:c r="N132" s="26" t="n">
        <x:v>18.2</x:v>
      </x:c>
      <x:c r="O132" s="22" t="n">
        <x:v>19</x:v>
      </x:c>
      <x:c r="P132" s="22" t="n">
        <x:v>6</x:v>
      </x:c>
      <x:c r="Q132" s="22" t="n">
        <x:v>0</x:v>
      </x:c>
      <x:c r="R132" s="17" t="n">
        <x:v>3</x:v>
      </x:c>
      <x:c r="S132" s="22" t="n">
        <x:v>9</x:v>
      </x:c>
      <x:c r="T132" s="24" t="n">
        <x:v>1.5</x:v>
      </x:c>
      <x:c r="U132" s="24" t="n">
        <x:f>IFERROR(O132/T132,0)</x:f>
        <x:v>12.666666666666666</x:v>
      </x:c>
      <x:c r="V132" s="17" t="str">
        <x:f>IF(O132&lt;=0,"out_of_stock",IF(U132&lt;7,"critical_low_stock",IF(U132&gt;60,"overstock","in_stock")))</x:f>
        <x:v>in_stock</x:v>
      </x:c>
      <x:c r="W132" s="17" t="str">
        <x:f>IF(O132&lt;=0,"OOS",IF(AND(U132&lt;7,AC132&gt;=0.5),"High Risk",IF(U132&lt;14,"Medium Risk",IF(U132&gt;60,"Overstock","Healthy"))))</x:f>
        <x:v>Medium Risk</x:v>
      </x:c>
      <x:c r="X132" s="22" t="n">
        <x:v>153</x:v>
      </x:c>
      <x:c r="Y132" s="22" t="n">
        <x:v>5</x:v>
      </x:c>
      <x:c r="Z132" s="22" t="n">
        <x:v>1</x:v>
      </x:c>
      <x:c r="AA132" s="24" t="n">
        <x:f>IFERROR(Y132/X132*100,0)</x:f>
        <x:v>3.2679738562091507</x:v>
      </x:c>
      <x:c r="AB132" s="26" t="n">
        <x:v>-42.9</x:v>
      </x:c>
      <x:c r="AC132" s="24" t="n">
        <x:f>IFERROR(Z132/X132*100,0)</x:f>
        <x:v>0.6535947712418301</x:v>
      </x:c>
      <x:c r="AD132" s="26" t="n">
        <x:v>-9.7</x:v>
      </x:c>
      <x:c r="AE132" s="22" t="n">
        <x:f>IFERROR(Z132*M132,0)</x:f>
        <x:v>17561</x:v>
      </x:c>
      <x:c r="AF132" s="26" t="n">
        <x:v>1.8</x:v>
      </x:c>
      <x:c r="AG132" s="24" t="n">
        <x:v>46.7</x:v>
      </x:c>
      <x:c r="AH132" s="26" t="n">
        <x:v>3.2</x:v>
      </x:c>
      <x:c r="AI132" s="22" t="n">
        <x:v>3</x:v>
      </x:c>
      <x:c r="AJ132" s="22" t="n">
        <x:v>1</x:v>
      </x:c>
      <x:c r="AK132" s="22" t="n">
        <x:v>1</x:v>
      </x:c>
      <x:c r="AL132" s="22" t="n">
        <x:v>1</x:v>
      </x:c>
      <x:c r="AM132" s="22" t="n">
        <x:v>1</x:v>
      </x:c>
      <x:c r="AN132" s="24" t="n">
        <x:f>IFERROR(AI132/X132*100,0)</x:f>
        <x:v>1.9607843137254901</x:v>
      </x:c>
      <x:c r="AO132" s="24" t="n">
        <x:f>IFERROR(AJ132/X132*100,0)</x:f>
        <x:v>0.6535947712418301</x:v>
      </x:c>
      <x:c r="AP132" s="24" t="n">
        <x:f>IFERROR(AK132/X132*100,0)</x:f>
        <x:v>0.6535947712418301</x:v>
      </x:c>
      <x:c r="AQ132" s="24" t="n">
        <x:f>IFERROR(AL132/X132*100,0)</x:f>
        <x:v>0.6535947712418301</x:v>
      </x:c>
      <x:c r="AR132" s="24" t="n">
        <x:f>IFERROR(AM132/X132*100,0)</x:f>
        <x:v>0.6535947712418301</x:v>
      </x:c>
      <x:c r="AS132" s="24" t="n">
        <x:f>IFERROR(Z132/X132*100,0)</x:f>
        <x:v>0.6535947712418301</x:v>
      </x:c>
      <x:c r="AT132" s="26" t="n">
        <x:v>-6</x:v>
      </x:c>
      <x:c r="AU132" s="26" t="n">
        <x:v>-42.9</x:v>
      </x:c>
      <x:c r="AV132" s="26" t="n">
        <x:v>9.7</x:v>
      </x:c>
      <x:c r="AW132" s="26" t="n">
        <x:v>-41.6</x:v>
      </x:c>
      <x:c r="AX132" s="26" t="n">
        <x:v>-21.5</x:v>
      </x:c>
      <x:c r="AY132" s="26" t="n">
        <x:v>-11.5</x:v>
      </x:c>
      <x:c r="AZ132" s="26" t="n">
        <x:v>15.5</x:v>
      </x:c>
      <x:c r="BA132" s="26" t="n">
        <x:v>-9.7</x:v>
      </x:c>
      <x:c r="BB132" s="22" t="n">
        <x:f>IFERROR(AE132/Z132,0)</x:f>
        <x:v>17561</x:v>
      </x:c>
      <x:c r="BC132" s="17" t="n">
        <x:f>IF(OR(V132="out_of_stock",V132="critical_low_stock"),MAX(0,(14-U132)*T132),0)</x:f>
        <x:v>0</x:v>
      </x:c>
      <x:c r="BD132" s="22" t="n">
        <x:f>IFERROR(BC132*M132,0)</x:f>
        <x:v>0</x:v>
      </x:c>
      <x:c r="BE132" s="17" t="str">
        <x:v>mobile_funnel_behavior</x:v>
      </x:c>
      <x:c r="BF132" s="17" t="str">
        <x:v>inspired_by_uploaded_mobile_funnel_screenshot + copied_product_context</x:v>
      </x:c>
    </x:row>
    <x:row r="133">
      <x:c r="A133" s="17" t="n">
        <x:v>132</x:v>
      </x:c>
      <x:c r="B133" s="17" t="str">
        <x:v>MOBILE_EVENT_FUNNEL</x:v>
      </x:c>
      <x:c r="C133" s="20" t="n">
        <x:v>46147</x:v>
      </x:c>
      <x:c r="D133" s="17" t="str">
        <x:v>Mobile Web</x:v>
      </x:c>
      <x:c r="E133" s="17" t="str">
        <x:v>Mobile</x:v>
      </x:c>
      <x:c r="F133" s="17" t="str">
        <x:v>Search Organic Brand</x:v>
      </x:c>
      <x:c r="G133" s="17" t="n">
        <x:v>24</x:v>
      </x:c>
      <x:c r="H133" s="17" t="str">
        <x:v>APPLE</x:v>
      </x:c>
      <x:c r="I133" s="17" t="str">
        <x:v>Bilgisayar</x:v>
      </x:c>
      <x:c r="J133" s="17" t="str">
        <x:v>Tabletler</x:v>
      </x:c>
      <x:c r="K133" s="17" t="str">
        <x:v>APPLE iPad (A16) Wi-Fi 128 GB Tablet Pembe MD4E4TU/A</x:v>
      </x:c>
      <x:c r="L133" s="17" t="str">
        <x:v>1245608</x:v>
      </x:c>
      <x:c r="M133" s="22" t="n">
        <x:v>36668</x:v>
      </x:c>
      <x:c r="N133" s="26" t="n">
        <x:v>-11.8</x:v>
      </x:c>
      <x:c r="O133" s="22" t="n">
        <x:v>20</x:v>
      </x:c>
      <x:c r="P133" s="22" t="n">
        <x:v>8</x:v>
      </x:c>
      <x:c r="Q133" s="22" t="n">
        <x:v>0</x:v>
      </x:c>
      <x:c r="R133" s="17" t="n">
        <x:v>3</x:v>
      </x:c>
      <x:c r="S133" s="22" t="n">
        <x:v>8</x:v>
      </x:c>
      <x:c r="T133" s="24" t="n">
        <x:v>1.3</x:v>
      </x:c>
      <x:c r="U133" s="24" t="n">
        <x:f>IFERROR(O133/T133,0)</x:f>
        <x:v>15.384615384615383</x:v>
      </x:c>
      <x:c r="V133" s="17" t="str">
        <x:f>IF(O133&lt;=0,"out_of_stock",IF(U133&lt;7,"critical_low_stock",IF(U133&gt;60,"overstock","in_stock")))</x:f>
        <x:v>in_stock</x:v>
      </x:c>
      <x:c r="W133" s="17" t="str">
        <x:f>IF(O133&lt;=0,"OOS",IF(AND(U133&lt;7,AC133&gt;=0.5),"High Risk",IF(U133&lt;14,"Medium Risk",IF(U133&gt;60,"Overstock","Healthy"))))</x:f>
        <x:v>Healthy</x:v>
      </x:c>
      <x:c r="X133" s="22" t="n">
        <x:v>985</x:v>
      </x:c>
      <x:c r="Y133" s="22" t="n">
        <x:v>113</x:v>
      </x:c>
      <x:c r="Z133" s="22" t="n">
        <x:v>5</x:v>
      </x:c>
      <x:c r="AA133" s="24" t="n">
        <x:f>IFERROR(Y133/X133*100,0)</x:f>
        <x:v>11.472081218274113</x:v>
      </x:c>
      <x:c r="AB133" s="26" t="n">
        <x:v>-81.7</x:v>
      </x:c>
      <x:c r="AC133" s="24" t="n">
        <x:f>IFERROR(Z133/X133*100,0)</x:f>
        <x:v>0.5076142131979695</x:v>
      </x:c>
      <x:c r="AD133" s="26" t="n">
        <x:v>-4.6</x:v>
      </x:c>
      <x:c r="AE133" s="22" t="n">
        <x:f>IFERROR(Z133*M133,0)</x:f>
        <x:v>183340</x:v>
      </x:c>
      <x:c r="AF133" s="26" t="n">
        <x:v>-8.4</x:v>
      </x:c>
      <x:c r="AG133" s="24" t="n">
        <x:v>54.4</x:v>
      </x:c>
      <x:c r="AH133" s="26" t="n">
        <x:v>15.8</x:v>
      </x:c>
      <x:c r="AI133" s="22" t="n">
        <x:v>81</x:v>
      </x:c>
      <x:c r="AJ133" s="22" t="n">
        <x:v>29</x:v>
      </x:c>
      <x:c r="AK133" s="22" t="n">
        <x:v>23</x:v>
      </x:c>
      <x:c r="AL133" s="22" t="n">
        <x:v>15</x:v>
      </x:c>
      <x:c r="AM133" s="22" t="n">
        <x:v>13</x:v>
      </x:c>
      <x:c r="AN133" s="24" t="n">
        <x:f>IFERROR(AI133/X133*100,0)</x:f>
        <x:v>8.223350253807107</x:v>
      </x:c>
      <x:c r="AO133" s="24" t="n">
        <x:f>IFERROR(AJ133/X133*100,0)</x:f>
        <x:v>2.9441624365482233</x:v>
      </x:c>
      <x:c r="AP133" s="24" t="n">
        <x:f>IFERROR(AK133/X133*100,0)</x:f>
        <x:v>2.33502538071066</x:v>
      </x:c>
      <x:c r="AQ133" s="24" t="n">
        <x:f>IFERROR(AL133/X133*100,0)</x:f>
        <x:v>1.5228426395939088</x:v>
      </x:c>
      <x:c r="AR133" s="24" t="n">
        <x:f>IFERROR(AM133/X133*100,0)</x:f>
        <x:v>1.3197969543147208</x:v>
      </x:c>
      <x:c r="AS133" s="24" t="n">
        <x:f>IFERROR(Z133/X133*100,0)</x:f>
        <x:v>0.5076142131979695</x:v>
      </x:c>
      <x:c r="AT133" s="26" t="n">
        <x:v>4.7</x:v>
      </x:c>
      <x:c r="AU133" s="26" t="n">
        <x:v>-81.7</x:v>
      </x:c>
      <x:c r="AV133" s="26" t="n">
        <x:v>-59.5</x:v>
      </x:c>
      <x:c r="AW133" s="26" t="n">
        <x:v>-10.9</x:v>
      </x:c>
      <x:c r="AX133" s="26" t="n">
        <x:v>-1</x:v>
      </x:c>
      <x:c r="AY133" s="26" t="n">
        <x:v>-4.8</x:v>
      </x:c>
      <x:c r="AZ133" s="26" t="n">
        <x:v>-32.8</x:v>
      </x:c>
      <x:c r="BA133" s="26" t="n">
        <x:v>-4.6</x:v>
      </x:c>
      <x:c r="BB133" s="22" t="n">
        <x:f>IFERROR(AE133/Z133,0)</x:f>
        <x:v>36668</x:v>
      </x:c>
      <x:c r="BC133" s="17" t="n">
        <x:f>IF(OR(V133="out_of_stock",V133="critical_low_stock"),MAX(0,(14-U133)*T133),0)</x:f>
        <x:v>0</x:v>
      </x:c>
      <x:c r="BD133" s="22" t="n">
        <x:f>IFERROR(BC133*M133,0)</x:f>
        <x:v>0</x:v>
      </x:c>
      <x:c r="BE133" s="17" t="str">
        <x:v>mobile_funnel_behavior</x:v>
      </x:c>
      <x:c r="BF133" s="17" t="str">
        <x:v>inspired_by_uploaded_mobile_funnel_screenshot + copied_product_context</x:v>
      </x:c>
    </x:row>
    <x:row r="134">
      <x:c r="A134" s="17" t="n">
        <x:v>133</x:v>
      </x:c>
      <x:c r="B134" s="17" t="str">
        <x:v>MOBILE_EVENT_FUNNEL</x:v>
      </x:c>
      <x:c r="C134" s="20" t="n">
        <x:v>46148</x:v>
      </x:c>
      <x:c r="D134" s="17" t="str">
        <x:v>Mobile Web</x:v>
      </x:c>
      <x:c r="E134" s="17" t="str">
        <x:v>Mobile</x:v>
      </x:c>
      <x:c r="F134" s="17" t="str">
        <x:v>Search Paid Brand</x:v>
      </x:c>
      <x:c r="G134" s="17" t="n">
        <x:v>21</x:v>
      </x:c>
      <x:c r="H134" s="17" t="str">
        <x:v>DJI</x:v>
      </x:c>
      <x:c r="I134" s="17" t="str">
        <x:v>Foto &amp; Kamera &amp; Drone</x:v>
      </x:c>
      <x:c r="J134" s="17" t="str">
        <x:v>Drone</x:v>
      </x:c>
      <x:c r="K134" s="17" t="str">
        <x:v>DJI Osmo Pocket 4 Creator Combo Gimbal</x:v>
      </x:c>
      <x:c r="L134" s="17" t="str">
        <x:v>1254263</x:v>
      </x:c>
      <x:c r="M134" s="22" t="n">
        <x:v>17238</x:v>
      </x:c>
      <x:c r="N134" s="26" t="n">
        <x:v>11.8</x:v>
      </x:c>
      <x:c r="O134" s="22" t="n">
        <x:v>3</x:v>
      </x:c>
      <x:c r="P134" s="22" t="n">
        <x:v>3</x:v>
      </x:c>
      <x:c r="Q134" s="22" t="n">
        <x:v>18</x:v>
      </x:c>
      <x:c r="R134" s="17" t="n">
        <x:v>7</x:v>
      </x:c>
      <x:c r="S134" s="22" t="n">
        <x:v>15</x:v>
      </x:c>
      <x:c r="T134" s="24" t="n">
        <x:v>1.5</x:v>
      </x:c>
      <x:c r="U134" s="24" t="n">
        <x:f>IFERROR(O134/T134,0)</x:f>
        <x:v>2</x:v>
      </x:c>
      <x:c r="V134" s="17" t="str">
        <x:f>IF(O134&lt;=0,"out_of_stock",IF(U134&lt;7,"critical_low_stock",IF(U134&gt;60,"overstock","in_stock")))</x:f>
        <x:v>critical_low_stock</x:v>
      </x:c>
      <x:c r="W134" s="17" t="str">
        <x:f>IF(O134&lt;=0,"OOS",IF(AND(U134&lt;7,AC134&gt;=0.5),"High Risk",IF(U134&lt;14,"Medium Risk",IF(U134&gt;60,"Overstock","Healthy"))))</x:f>
        <x:v>High Risk</x:v>
      </x:c>
      <x:c r="X134" s="22" t="n">
        <x:v>1332</x:v>
      </x:c>
      <x:c r="Y134" s="22" t="n">
        <x:v>164</x:v>
      </x:c>
      <x:c r="Z134" s="22" t="n">
        <x:v>10</x:v>
      </x:c>
      <x:c r="AA134" s="24" t="n">
        <x:f>IFERROR(Y134/X134*100,0)</x:f>
        <x:v>12.312312312312311</x:v>
      </x:c>
      <x:c r="AB134" s="26" t="n">
        <x:v>-40.6</x:v>
      </x:c>
      <x:c r="AC134" s="24" t="n">
        <x:f>IFERROR(Z134/X134*100,0)</x:f>
        <x:v>0.7507507507507507</x:v>
      </x:c>
      <x:c r="AD134" s="26" t="n">
        <x:v>-32.7</x:v>
      </x:c>
      <x:c r="AE134" s="22" t="n">
        <x:f>IFERROR(Z134*M134,0)</x:f>
        <x:v>172380</x:v>
      </x:c>
      <x:c r="AF134" s="26" t="n">
        <x:v>-20.1</x:v>
      </x:c>
      <x:c r="AG134" s="24" t="n">
        <x:v>47.9</x:v>
      </x:c>
      <x:c r="AH134" s="26" t="n">
        <x:v>17.3</x:v>
      </x:c>
      <x:c r="AI134" s="22" t="n">
        <x:v>143</x:v>
      </x:c>
      <x:c r="AJ134" s="22" t="n">
        <x:v>48</x:v>
      </x:c>
      <x:c r="AK134" s="22" t="n">
        <x:v>32</x:v>
      </x:c>
      <x:c r="AL134" s="22" t="n">
        <x:v>24</x:v>
      </x:c>
      <x:c r="AM134" s="22" t="n">
        <x:v>20</x:v>
      </x:c>
      <x:c r="AN134" s="24" t="n">
        <x:f>IFERROR(AI134/X134*100,0)</x:f>
        <x:v>10.735735735735735</x:v>
      </x:c>
      <x:c r="AO134" s="24" t="n">
        <x:f>IFERROR(AJ134/X134*100,0)</x:f>
        <x:v>3.6036036036036037</x:v>
      </x:c>
      <x:c r="AP134" s="24" t="n">
        <x:f>IFERROR(AK134/X134*100,0)</x:f>
        <x:v>2.4024024024024024</x:v>
      </x:c>
      <x:c r="AQ134" s="24" t="n">
        <x:f>IFERROR(AL134/X134*100,0)</x:f>
        <x:v>1.8018018018018018</x:v>
      </x:c>
      <x:c r="AR134" s="24" t="n">
        <x:f>IFERROR(AM134/X134*100,0)</x:f>
        <x:v>1.5015015015015014</x:v>
      </x:c>
      <x:c r="AS134" s="24" t="n">
        <x:f>IFERROR(Z134/X134*100,0)</x:f>
        <x:v>0.7507507507507507</x:v>
      </x:c>
      <x:c r="AT134" s="26" t="n">
        <x:v>31.5</x:v>
      </x:c>
      <x:c r="AU134" s="26" t="n">
        <x:v>-40.6</x:v>
      </x:c>
      <x:c r="AV134" s="26" t="n">
        <x:v>-28.5</x:v>
      </x:c>
      <x:c r="AW134" s="26" t="n">
        <x:v>-72.5</x:v>
      </x:c>
      <x:c r="AX134" s="26" t="n">
        <x:v>2.9</x:v>
      </x:c>
      <x:c r="AY134" s="26" t="n">
        <x:v>-21.9</x:v>
      </x:c>
      <x:c r="AZ134" s="26" t="n">
        <x:v>-14.4</x:v>
      </x:c>
      <x:c r="BA134" s="26" t="n">
        <x:v>-32.7</x:v>
      </x:c>
      <x:c r="BB134" s="22" t="n">
        <x:f>IFERROR(AE134/Z134,0)</x:f>
        <x:v>17238</x:v>
      </x:c>
      <x:c r="BC134" s="17" t="n">
        <x:f>IF(OR(V134="out_of_stock",V134="critical_low_stock"),MAX(0,(14-U134)*T134),0)</x:f>
        <x:v>18</x:v>
      </x:c>
      <x:c r="BD134" s="22" t="n">
        <x:f>IFERROR(BC134*M134,0)</x:f>
        <x:v>310284</x:v>
      </x:c>
      <x:c r="BE134" s="17" t="str">
        <x:v>mobile_funnel_behavior</x:v>
      </x:c>
      <x:c r="BF134" s="17" t="str">
        <x:v>inspired_by_uploaded_mobile_funnel_screenshot + copied_product_context</x:v>
      </x:c>
    </x:row>
    <x:row r="135">
      <x:c r="A135" s="17" t="n">
        <x:v>134</x:v>
      </x:c>
      <x:c r="B135" s="17" t="str">
        <x:v>MOBILE_EVENT_FUNNEL</x:v>
      </x:c>
      <x:c r="C135" s="20" t="n">
        <x:v>46149</x:v>
      </x:c>
      <x:c r="D135" s="17" t="str">
        <x:v>Mobile Web</x:v>
      </x:c>
      <x:c r="E135" s="17" t="str">
        <x:v>Mobile</x:v>
      </x:c>
      <x:c r="F135" s="17" t="str">
        <x:v>Price Comparison</x:v>
      </x:c>
      <x:c r="G135" s="17" t="n">
        <x:v>24</x:v>
      </x:c>
      <x:c r="H135" s="17" t="str">
        <x:v>APPLE</x:v>
      </x:c>
      <x:c r="I135" s="17" t="str">
        <x:v>Bilgisayar</x:v>
      </x:c>
      <x:c r="J135" s="17" t="str">
        <x:v>Tabletler</x:v>
      </x:c>
      <x:c r="K135" s="17" t="str">
        <x:v>APPLE iPad (A16) Wi-Fi 128 GB Tablet Mavi MD4A4TU/A</x:v>
      </x:c>
      <x:c r="L135" s="17" t="str">
        <x:v>1245606</x:v>
      </x:c>
      <x:c r="M135" s="22" t="n">
        <x:v>30637</x:v>
      </x:c>
      <x:c r="N135" s="26" t="n">
        <x:v>-10.6</x:v>
      </x:c>
      <x:c r="O135" s="22" t="n">
        <x:v>82</x:v>
      </x:c>
      <x:c r="P135" s="22" t="n">
        <x:v>23</x:v>
      </x:c>
      <x:c r="Q135" s="22" t="n">
        <x:v>0</x:v>
      </x:c>
      <x:c r="R135" s="17" t="n">
        <x:v>5</x:v>
      </x:c>
      <x:c r="S135" s="22" t="n">
        <x:v>13</x:v>
      </x:c>
      <x:c r="T135" s="24" t="n">
        <x:v>1.6</x:v>
      </x:c>
      <x:c r="U135" s="24" t="n">
        <x:f>IFERROR(O135/T135,0)</x:f>
        <x:v>51.25</x:v>
      </x:c>
      <x:c r="V135" s="17" t="str">
        <x:f>IF(O135&lt;=0,"out_of_stock",IF(U135&lt;7,"critical_low_stock",IF(U135&gt;60,"overstock","in_stock")))</x:f>
        <x:v>in_stock</x:v>
      </x:c>
      <x:c r="W135" s="17" t="str">
        <x:f>IF(O135&lt;=0,"OOS",IF(AND(U135&lt;7,AC135&gt;=0.5),"High Risk",IF(U135&lt;14,"Medium Risk",IF(U135&gt;60,"Overstock","Healthy"))))</x:f>
        <x:v>Healthy</x:v>
      </x:c>
      <x:c r="X135" s="22" t="n">
        <x:v>134</x:v>
      </x:c>
      <x:c r="Y135" s="22" t="n">
        <x:v>12</x:v>
      </x:c>
      <x:c r="Z135" s="22" t="n">
        <x:v>1</x:v>
      </x:c>
      <x:c r="AA135" s="24" t="n">
        <x:f>IFERROR(Y135/X135*100,0)</x:f>
        <x:v>8.955223880597014</x:v>
      </x:c>
      <x:c r="AB135" s="26" t="n">
        <x:v>-63</x:v>
      </x:c>
      <x:c r="AC135" s="24" t="n">
        <x:f>IFERROR(Z135/X135*100,0)</x:f>
        <x:v>0.7462686567164178</x:v>
      </x:c>
      <x:c r="AD135" s="26" t="n">
        <x:v>-40.7</x:v>
      </x:c>
      <x:c r="AE135" s="22" t="n">
        <x:f>IFERROR(Z135*M135,0)</x:f>
        <x:v>30637</x:v>
      </x:c>
      <x:c r="AF135" s="26" t="n">
        <x:v>-49.9</x:v>
      </x:c>
      <x:c r="AG135" s="24" t="n">
        <x:v>66.4</x:v>
      </x:c>
      <x:c r="AH135" s="26" t="n">
        <x:v>5.5</x:v>
      </x:c>
      <x:c r="AI135" s="22" t="n">
        <x:v>10</x:v>
      </x:c>
      <x:c r="AJ135" s="22" t="n">
        <x:v>7</x:v>
      </x:c>
      <x:c r="AK135" s="22" t="n">
        <x:v>3</x:v>
      </x:c>
      <x:c r="AL135" s="22" t="n">
        <x:v>3</x:v>
      </x:c>
      <x:c r="AM135" s="22" t="n">
        <x:v>2</x:v>
      </x:c>
      <x:c r="AN135" s="24" t="n">
        <x:f>IFERROR(AI135/X135*100,0)</x:f>
        <x:v>7.462686567164178</x:v>
      </x:c>
      <x:c r="AO135" s="24" t="n">
        <x:f>IFERROR(AJ135/X135*100,0)</x:f>
        <x:v>5.223880597014925</x:v>
      </x:c>
      <x:c r="AP135" s="24" t="n">
        <x:f>IFERROR(AK135/X135*100,0)</x:f>
        <x:v>2.2388059701492535</x:v>
      </x:c>
      <x:c r="AQ135" s="24" t="n">
        <x:f>IFERROR(AL135/X135*100,0)</x:f>
        <x:v>2.2388059701492535</x:v>
      </x:c>
      <x:c r="AR135" s="24" t="n">
        <x:f>IFERROR(AM135/X135*100,0)</x:f>
        <x:v>1.4925373134328357</x:v>
      </x:c>
      <x:c r="AS135" s="24" t="n">
        <x:f>IFERROR(Z135/X135*100,0)</x:f>
        <x:v>0.7462686567164178</x:v>
      </x:c>
      <x:c r="AT135" s="26" t="n">
        <x:v>1.2</x:v>
      </x:c>
      <x:c r="AU135" s="26" t="n">
        <x:v>-63</x:v>
      </x:c>
      <x:c r="AV135" s="26" t="n">
        <x:v>-14.6</x:v>
      </x:c>
      <x:c r="AW135" s="26" t="n">
        <x:v>-37</x:v>
      </x:c>
      <x:c r="AX135" s="26" t="n">
        <x:v>8</x:v>
      </x:c>
      <x:c r="AY135" s="26" t="n">
        <x:v>-6.6</x:v>
      </x:c>
      <x:c r="AZ135" s="26" t="n">
        <x:v>-15</x:v>
      </x:c>
      <x:c r="BA135" s="26" t="n">
        <x:v>-40.7</x:v>
      </x:c>
      <x:c r="BB135" s="22" t="n">
        <x:f>IFERROR(AE135/Z135,0)</x:f>
        <x:v>30637</x:v>
      </x:c>
      <x:c r="BC135" s="17" t="n">
        <x:f>IF(OR(V135="out_of_stock",V135="critical_low_stock"),MAX(0,(14-U135)*T135),0)</x:f>
        <x:v>0</x:v>
      </x:c>
      <x:c r="BD135" s="22" t="n">
        <x:f>IFERROR(BC135*M135,0)</x:f>
        <x:v>0</x:v>
      </x:c>
      <x:c r="BE135" s="17" t="str">
        <x:v>mobile_funnel_behavior</x:v>
      </x:c>
      <x:c r="BF135" s="17" t="str">
        <x:v>inspired_by_uploaded_mobile_funnel_screenshot + copied_product_context</x:v>
      </x:c>
    </x:row>
    <x:row r="136">
      <x:c r="A136" s="17" t="n">
        <x:v>135</x:v>
      </x:c>
      <x:c r="B136" s="17" t="str">
        <x:v>MOBILE_EVENT_FUNNEL</x:v>
      </x:c>
      <x:c r="C136" s="20" t="n">
        <x:v>46150</x:v>
      </x:c>
      <x:c r="D136" s="17" t="str">
        <x:v>Mobile Web</x:v>
      </x:c>
      <x:c r="E136" s="17" t="str">
        <x:v>Mobile</x:v>
      </x:c>
      <x:c r="F136" s="17" t="str">
        <x:v>Search Paid Brand</x:v>
      </x:c>
      <x:c r="G136" s="17" t="n">
        <x:v>28</x:v>
      </x:c>
      <x:c r="H136" s="17" t="str">
        <x:v>APPLE</x:v>
      </x:c>
      <x:c r="I136" s="17" t="str">
        <x:v>Telefon</x:v>
      </x:c>
      <x:c r="J136" s="17" t="str">
        <x:v>Cep Telefonları</x:v>
      </x:c>
      <x:c r="K136" s="17" t="str">
        <x:v>APPLE iPhone 15 256 GB Akıllı Telefon Yeşil MTPA3TU/A</x:v>
      </x:c>
      <x:c r="L136" s="17" t="str">
        <x:v>1232442</x:v>
      </x:c>
      <x:c r="M136" s="22" t="n">
        <x:v>37061</x:v>
      </x:c>
      <x:c r="N136" s="26" t="n">
        <x:v>1.2</x:v>
      </x:c>
      <x:c r="O136" s="22" t="n">
        <x:v>6</x:v>
      </x:c>
      <x:c r="P136" s="22" t="n">
        <x:v>7</x:v>
      </x:c>
      <x:c r="Q136" s="22" t="n">
        <x:v>11</x:v>
      </x:c>
      <x:c r="R136" s="17" t="n">
        <x:v>14</x:v>
      </x:c>
      <x:c r="S136" s="22" t="n">
        <x:v>11</x:v>
      </x:c>
      <x:c r="T136" s="24" t="n">
        <x:v>0.6</x:v>
      </x:c>
      <x:c r="U136" s="24" t="n">
        <x:f>IFERROR(O136/T136,0)</x:f>
        <x:v>10</x:v>
      </x:c>
      <x:c r="V136" s="17" t="str">
        <x:f>IF(O136&lt;=0,"out_of_stock",IF(U136&lt;7,"critical_low_stock",IF(U136&gt;60,"overstock","in_stock")))</x:f>
        <x:v>in_stock</x:v>
      </x:c>
      <x:c r="W136" s="17" t="str">
        <x:f>IF(O136&lt;=0,"OOS",IF(AND(U136&lt;7,AC136&gt;=0.5),"High Risk",IF(U136&lt;14,"Medium Risk",IF(U136&gt;60,"Overstock","Healthy"))))</x:f>
        <x:v>Medium Risk</x:v>
      </x:c>
      <x:c r="X136" s="22" t="n">
        <x:v>639</x:v>
      </x:c>
      <x:c r="Y136" s="22" t="n">
        <x:v>34</x:v>
      </x:c>
      <x:c r="Z136" s="22" t="n">
        <x:v>3</x:v>
      </x:c>
      <x:c r="AA136" s="24" t="n">
        <x:f>IFERROR(Y136/X136*100,0)</x:f>
        <x:v>5.320813771517996</x:v>
      </x:c>
      <x:c r="AB136" s="26" t="n">
        <x:v>-23.8</x:v>
      </x:c>
      <x:c r="AC136" s="24" t="n">
        <x:f>IFERROR(Z136/X136*100,0)</x:f>
        <x:v>0.4694835680751174</x:v>
      </x:c>
      <x:c r="AD136" s="26" t="n">
        <x:v>-0.7</x:v>
      </x:c>
      <x:c r="AE136" s="22" t="n">
        <x:f>IFERROR(Z136*M136,0)</x:f>
        <x:v>111183</x:v>
      </x:c>
      <x:c r="AF136" s="26" t="n">
        <x:v>-3.4</x:v>
      </x:c>
      <x:c r="AG136" s="24" t="n">
        <x:v>50.7</x:v>
      </x:c>
      <x:c r="AH136" s="26" t="n">
        <x:v>0.2</x:v>
      </x:c>
      <x:c r="AI136" s="22" t="n">
        <x:v>17</x:v>
      </x:c>
      <x:c r="AJ136" s="22" t="n">
        <x:v>8</x:v>
      </x:c>
      <x:c r="AK136" s="22" t="n">
        <x:v>7</x:v>
      </x:c>
      <x:c r="AL136" s="22" t="n">
        <x:v>6</x:v>
      </x:c>
      <x:c r="AM136" s="22" t="n">
        <x:v>5</x:v>
      </x:c>
      <x:c r="AN136" s="24" t="n">
        <x:f>IFERROR(AI136/X136*100,0)</x:f>
        <x:v>2.660406885758998</x:v>
      </x:c>
      <x:c r="AO136" s="24" t="n">
        <x:f>IFERROR(AJ136/X136*100,0)</x:f>
        <x:v>1.2519561815336464</x:v>
      </x:c>
      <x:c r="AP136" s="24" t="n">
        <x:f>IFERROR(AK136/X136*100,0)</x:f>
        <x:v>1.0954616588419406</x:v>
      </x:c>
      <x:c r="AQ136" s="24" t="n">
        <x:f>IFERROR(AL136/X136*100,0)</x:f>
        <x:v>0.9389671361502347</x:v>
      </x:c>
      <x:c r="AR136" s="24" t="n">
        <x:f>IFERROR(AM136/X136*100,0)</x:f>
        <x:v>0.7824726134585289</x:v>
      </x:c>
      <x:c r="AS136" s="24" t="n">
        <x:f>IFERROR(Z136/X136*100,0)</x:f>
        <x:v>0.4694835680751174</x:v>
      </x:c>
      <x:c r="AT136" s="26" t="n">
        <x:v>15.9</x:v>
      </x:c>
      <x:c r="AU136" s="26" t="n">
        <x:v>-23.8</x:v>
      </x:c>
      <x:c r="AV136" s="26" t="n">
        <x:v>-21.5</x:v>
      </x:c>
      <x:c r="AW136" s="26" t="n">
        <x:v>-67.6</x:v>
      </x:c>
      <x:c r="AX136" s="26" t="n">
        <x:v>-34.3</x:v>
      </x:c>
      <x:c r="AY136" s="26" t="n">
        <x:v>-4</x:v>
      </x:c>
      <x:c r="AZ136" s="26" t="n">
        <x:v>9.5</x:v>
      </x:c>
      <x:c r="BA136" s="26" t="n">
        <x:v>-0.7</x:v>
      </x:c>
      <x:c r="BB136" s="22" t="n">
        <x:f>IFERROR(AE136/Z136,0)</x:f>
        <x:v>37061</x:v>
      </x:c>
      <x:c r="BC136" s="17" t="n">
        <x:f>IF(OR(V136="out_of_stock",V136="critical_low_stock"),MAX(0,(14-U136)*T136),0)</x:f>
        <x:v>0</x:v>
      </x:c>
      <x:c r="BD136" s="22" t="n">
        <x:f>IFERROR(BC136*M136,0)</x:f>
        <x:v>0</x:v>
      </x:c>
      <x:c r="BE136" s="17" t="str">
        <x:v>mobile_funnel_behavior</x:v>
      </x:c>
      <x:c r="BF136" s="17" t="str">
        <x:v>inspired_by_uploaded_mobile_funnel_screenshot + copied_product_context</x:v>
      </x:c>
    </x:row>
    <x:row r="137">
      <x:c r="A137" s="17" t="n">
        <x:v>136</x:v>
      </x:c>
      <x:c r="B137" s="17" t="str">
        <x:v>MOBILE_EVENT_FUNNEL</x:v>
      </x:c>
      <x:c r="C137" s="20" t="n">
        <x:v>46151</x:v>
      </x:c>
      <x:c r="D137" s="17" t="str">
        <x:v>Mobile Web</x:v>
      </x:c>
      <x:c r="E137" s="17" t="str">
        <x:v>Mobile</x:v>
      </x:c>
      <x:c r="F137" s="17" t="str">
        <x:v>Social Paid</x:v>
      </x:c>
      <x:c r="G137" s="17" t="n">
        <x:v>7</x:v>
      </x:c>
      <x:c r="H137" s="17" t="str">
        <x:v>APPLE</x:v>
      </x:c>
      <x:c r="I137" s="17" t="str">
        <x:v>Telefon</x:v>
      </x:c>
      <x:c r="J137" s="17" t="str">
        <x:v>Kulaklıklar</x:v>
      </x:c>
      <x:c r="K137" s="17" t="str">
        <x:v>APPLE Airpods 4 Aktif Gürültü Engelleme Özellikli Bluetooth Kulak İçi Kulaklık MXP93TU/A </x:v>
      </x:c>
      <x:c r="L137" s="17" t="str">
        <x:v>1239694</x:v>
      </x:c>
      <x:c r="M137" s="22" t="n">
        <x:v>6953</x:v>
      </x:c>
      <x:c r="N137" s="26" t="n">
        <x:v>-9.2</x:v>
      </x:c>
      <x:c r="O137" s="22" t="n">
        <x:v>80</x:v>
      </x:c>
      <x:c r="P137" s="22" t="n">
        <x:v>39</x:v>
      </x:c>
      <x:c r="Q137" s="22" t="n">
        <x:v>0</x:v>
      </x:c>
      <x:c r="R137" s="17" t="n">
        <x:v>10</x:v>
      </x:c>
      <x:c r="S137" s="22" t="n">
        <x:v>10</x:v>
      </x:c>
      <x:c r="T137" s="24" t="n">
        <x:v>0.7</x:v>
      </x:c>
      <x:c r="U137" s="24" t="n">
        <x:f>IFERROR(O137/T137,0)</x:f>
        <x:v>114.28571428571429</x:v>
      </x:c>
      <x:c r="V137" s="17" t="str">
        <x:f>IF(O137&lt;=0,"out_of_stock",IF(U137&lt;7,"critical_low_stock",IF(U137&gt;60,"overstock","in_stock")))</x:f>
        <x:v>overstock</x:v>
      </x:c>
      <x:c r="W137" s="17" t="str">
        <x:f>IF(O137&lt;=0,"OOS",IF(AND(U137&lt;7,AC137&gt;=0.5),"High Risk",IF(U137&lt;14,"Medium Risk",IF(U137&gt;60,"Overstock","Healthy"))))</x:f>
        <x:v>Overstock</x:v>
      </x:c>
      <x:c r="X137" s="22" t="n">
        <x:v>1405</x:v>
      </x:c>
      <x:c r="Y137" s="22" t="n">
        <x:v>17</x:v>
      </x:c>
      <x:c r="Z137" s="22" t="n">
        <x:v>0</x:v>
      </x:c>
      <x:c r="AA137" s="24" t="n">
        <x:f>IFERROR(Y137/X137*100,0)</x:f>
        <x:v>1.2099644128113878</x:v>
      </x:c>
      <x:c r="AB137" s="26" t="n">
        <x:v>-33.8</x:v>
      </x:c>
      <x:c r="AC137" s="24" t="n">
        <x:f>IFERROR(Z137/X137*100,0)</x:f>
        <x:v>0</x:v>
      </x:c>
      <x:c r="AD137" s="26" t="n">
        <x:v>-95.1</x:v>
      </x:c>
      <x:c r="AE137" s="22" t="n">
        <x:f>IFERROR(Z137*M137,0)</x:f>
        <x:v>0</x:v>
      </x:c>
      <x:c r="AF137" s="26" t="n">
        <x:v>-95</x:v>
      </x:c>
      <x:c r="AG137" s="24" t="n">
        <x:v>38.6</x:v>
      </x:c>
      <x:c r="AH137" s="26" t="n">
        <x:v>12.6</x:v>
      </x:c>
      <x:c r="AI137" s="22" t="n">
        <x:v>8</x:v>
      </x:c>
      <x:c r="AJ137" s="22" t="n">
        <x:v>1</x:v>
      </x:c>
      <x:c r="AK137" s="22" t="n">
        <x:v>1</x:v>
      </x:c>
      <x:c r="AL137" s="22" t="n">
        <x:v>1</x:v>
      </x:c>
      <x:c r="AM137" s="22" t="n">
        <x:v>1</x:v>
      </x:c>
      <x:c r="AN137" s="24" t="n">
        <x:f>IFERROR(AI137/X137*100,0)</x:f>
        <x:v>0.5693950177935944</x:v>
      </x:c>
      <x:c r="AO137" s="24" t="n">
        <x:f>IFERROR(AJ137/X137*100,0)</x:f>
        <x:v>0.0711743772241993</x:v>
      </x:c>
      <x:c r="AP137" s="24" t="n">
        <x:f>IFERROR(AK137/X137*100,0)</x:f>
        <x:v>0.0711743772241993</x:v>
      </x:c>
      <x:c r="AQ137" s="24" t="n">
        <x:f>IFERROR(AL137/X137*100,0)</x:f>
        <x:v>0.0711743772241993</x:v>
      </x:c>
      <x:c r="AR137" s="24" t="n">
        <x:f>IFERROR(AM137/X137*100,0)</x:f>
        <x:v>0.0711743772241993</x:v>
      </x:c>
      <x:c r="AS137" s="24" t="n">
        <x:f>IFERROR(Z137/X137*100,0)</x:f>
        <x:v>0</x:v>
      </x:c>
      <x:c r="AT137" s="26" t="n">
        <x:v>9.5</x:v>
      </x:c>
      <x:c r="AU137" s="26" t="n">
        <x:v>-33.8</x:v>
      </x:c>
      <x:c r="AV137" s="26" t="n">
        <x:v>-21.6</x:v>
      </x:c>
      <x:c r="AW137" s="26" t="n">
        <x:v>-55.9</x:v>
      </x:c>
      <x:c r="AX137" s="26" t="n">
        <x:v>5.8</x:v>
      </x:c>
      <x:c r="AY137" s="26" t="n">
        <x:v>5.3</x:v>
      </x:c>
      <x:c r="AZ137" s="26" t="n">
        <x:v>-34.5</x:v>
      </x:c>
      <x:c r="BA137" s="26" t="n">
        <x:v>-95.1</x:v>
      </x:c>
      <x:c r="BB137" s="22" t="n">
        <x:f>IFERROR(AE137/Z137,0)</x:f>
        <x:v>0</x:v>
      </x:c>
      <x:c r="BC137" s="17" t="n">
        <x:f>IF(OR(V137="out_of_stock",V137="critical_low_stock"),MAX(0,(14-U137)*T137),0)</x:f>
        <x:v>0</x:v>
      </x:c>
      <x:c r="BD137" s="22" t="n">
        <x:f>IFERROR(BC137*M137,0)</x:f>
        <x:v>0</x:v>
      </x:c>
      <x:c r="BE137" s="17" t="str">
        <x:v>mobile_funnel_behavior</x:v>
      </x:c>
      <x:c r="BF137" s="17" t="str">
        <x:v>inspired_by_uploaded_mobile_funnel_screenshot + copied_product_context</x:v>
      </x:c>
    </x:row>
    <x:row r="138">
      <x:c r="A138" s="17" t="n">
        <x:v>137</x:v>
      </x:c>
      <x:c r="B138" s="17" t="str">
        <x:v>MOBILE_EVENT_FUNNEL</x:v>
      </x:c>
      <x:c r="C138" s="20" t="n">
        <x:v>46152</x:v>
      </x:c>
      <x:c r="D138" s="17" t="str">
        <x:v>Mobile Web</x:v>
      </x:c>
      <x:c r="E138" s="17" t="str">
        <x:v>Mobile</x:v>
      </x:c>
      <x:c r="F138" s="17" t="str">
        <x:v>Social Paid</x:v>
      </x:c>
      <x:c r="G138" s="17" t="n">
        <x:v>28</x:v>
      </x:c>
      <x:c r="H138" s="17" t="str">
        <x:v>APPLE</x:v>
      </x:c>
      <x:c r="I138" s="17" t="str">
        <x:v>Telefon</x:v>
      </x:c>
      <x:c r="J138" s="17" t="str">
        <x:v>Cep Telefonları</x:v>
      </x:c>
      <x:c r="K138" s="17" t="str">
        <x:v>APPLE iPhone 16 128 GB Akıllı Telefon Laciverttaş MYEC3TU/A</x:v>
      </x:c>
      <x:c r="L138" s="17" t="str">
        <x:v>1239562</x:v>
      </x:c>
      <x:c r="M138" s="22" t="n">
        <x:v>57906</x:v>
      </x:c>
      <x:c r="N138" s="26" t="n">
        <x:v>-13.1</x:v>
      </x:c>
      <x:c r="O138" s="22" t="n">
        <x:v>43</x:v>
      </x:c>
      <x:c r="P138" s="22" t="n">
        <x:v>40</x:v>
      </x:c>
      <x:c r="Q138" s="22" t="n">
        <x:v>0</x:v>
      </x:c>
      <x:c r="R138" s="17" t="n">
        <x:v>21</x:v>
      </x:c>
      <x:c r="S138" s="22" t="n">
        <x:v>24</x:v>
      </x:c>
      <x:c r="T138" s="24" t="n">
        <x:v>1</x:v>
      </x:c>
      <x:c r="U138" s="24" t="n">
        <x:f>IFERROR(O138/T138,0)</x:f>
        <x:v>43</x:v>
      </x:c>
      <x:c r="V138" s="17" t="str">
        <x:f>IF(O138&lt;=0,"out_of_stock",IF(U138&lt;7,"critical_low_stock",IF(U138&gt;60,"overstock","in_stock")))</x:f>
        <x:v>in_stock</x:v>
      </x:c>
      <x:c r="W138" s="17" t="str">
        <x:f>IF(O138&lt;=0,"OOS",IF(AND(U138&lt;7,AC138&gt;=0.5),"High Risk",IF(U138&lt;14,"Medium Risk",IF(U138&gt;60,"Overstock","Healthy"))))</x:f>
        <x:v>Healthy</x:v>
      </x:c>
      <x:c r="X138" s="22" t="n">
        <x:v>464</x:v>
      </x:c>
      <x:c r="Y138" s="22" t="n">
        <x:v>17</x:v>
      </x:c>
      <x:c r="Z138" s="22" t="n">
        <x:v>2</x:v>
      </x:c>
      <x:c r="AA138" s="24" t="n">
        <x:f>IFERROR(Y138/X138*100,0)</x:f>
        <x:v>3.6637931034482754</x:v>
      </x:c>
      <x:c r="AB138" s="26" t="n">
        <x:v>-54.1</x:v>
      </x:c>
      <x:c r="AC138" s="24" t="n">
        <x:f>IFERROR(Z138/X138*100,0)</x:f>
        <x:v>0.43103448275862066</x:v>
      </x:c>
      <x:c r="AD138" s="26" t="n">
        <x:v>-21</x:v>
      </x:c>
      <x:c r="AE138" s="22" t="n">
        <x:f>IFERROR(Z138*M138,0)</x:f>
        <x:v>115812</x:v>
      </x:c>
      <x:c r="AF138" s="26" t="n">
        <x:v>-39.2</x:v>
      </x:c>
      <x:c r="AG138" s="24" t="n">
        <x:v>48.8</x:v>
      </x:c>
      <x:c r="AH138" s="26" t="n">
        <x:v>-7.2</x:v>
      </x:c>
      <x:c r="AI138" s="22" t="n">
        <x:v>14</x:v>
      </x:c>
      <x:c r="AJ138" s="22" t="n">
        <x:v>7</x:v>
      </x:c>
      <x:c r="AK138" s="22" t="n">
        <x:v>4</x:v>
      </x:c>
      <x:c r="AL138" s="22" t="n">
        <x:v>4</x:v>
      </x:c>
      <x:c r="AM138" s="22" t="n">
        <x:v>3</x:v>
      </x:c>
      <x:c r="AN138" s="24" t="n">
        <x:f>IFERROR(AI138/X138*100,0)</x:f>
        <x:v>3.0172413793103448</x:v>
      </x:c>
      <x:c r="AO138" s="24" t="n">
        <x:f>IFERROR(AJ138/X138*100,0)</x:f>
        <x:v>1.5086206896551724</x:v>
      </x:c>
      <x:c r="AP138" s="24" t="n">
        <x:f>IFERROR(AK138/X138*100,0)</x:f>
        <x:v>0.8620689655172413</x:v>
      </x:c>
      <x:c r="AQ138" s="24" t="n">
        <x:f>IFERROR(AL138/X138*100,0)</x:f>
        <x:v>0.8620689655172413</x:v>
      </x:c>
      <x:c r="AR138" s="24" t="n">
        <x:f>IFERROR(AM138/X138*100,0)</x:f>
        <x:v>0.646551724137931</x:v>
      </x:c>
      <x:c r="AS138" s="24" t="n">
        <x:f>IFERROR(Z138/X138*100,0)</x:f>
        <x:v>0.43103448275862066</x:v>
      </x:c>
      <x:c r="AT138" s="26" t="n">
        <x:v>1.8</x:v>
      </x:c>
      <x:c r="AU138" s="26" t="n">
        <x:v>-54.1</x:v>
      </x:c>
      <x:c r="AV138" s="26" t="n">
        <x:v>-21.5</x:v>
      </x:c>
      <x:c r="AW138" s="26" t="n">
        <x:v>-16.2</x:v>
      </x:c>
      <x:c r="AX138" s="26" t="n">
        <x:v>-7</x:v>
      </x:c>
      <x:c r="AY138" s="26" t="n">
        <x:v>24.7</x:v>
      </x:c>
      <x:c r="AZ138" s="26" t="n">
        <x:v>6.4</x:v>
      </x:c>
      <x:c r="BA138" s="26" t="n">
        <x:v>-21</x:v>
      </x:c>
      <x:c r="BB138" s="22" t="n">
        <x:f>IFERROR(AE138/Z138,0)</x:f>
        <x:v>57906</x:v>
      </x:c>
      <x:c r="BC138" s="17" t="n">
        <x:f>IF(OR(V138="out_of_stock",V138="critical_low_stock"),MAX(0,(14-U138)*T138),0)</x:f>
        <x:v>0</x:v>
      </x:c>
      <x:c r="BD138" s="22" t="n">
        <x:f>IFERROR(BC138*M138,0)</x:f>
        <x:v>0</x:v>
      </x:c>
      <x:c r="BE138" s="17" t="str">
        <x:v>mobile_funnel_behavior</x:v>
      </x:c>
      <x:c r="BF138" s="17" t="str">
        <x:v>inspired_by_uploaded_mobile_funnel_screenshot + copied_product_context</x:v>
      </x:c>
    </x:row>
    <x:row r="139">
      <x:c r="A139" s="17" t="n">
        <x:v>138</x:v>
      </x:c>
      <x:c r="B139" s="17" t="str">
        <x:v>MOBILE_EVENT_FUNNEL</x:v>
      </x:c>
      <x:c r="C139" s="20" t="n">
        <x:v>46153</x:v>
      </x:c>
      <x:c r="D139" s="17" t="str">
        <x:v>Mobile Web</x:v>
      </x:c>
      <x:c r="E139" s="17" t="str">
        <x:v>Mobile</x:v>
      </x:c>
      <x:c r="F139" s="17" t="str">
        <x:v>Search Paid Brand</x:v>
      </x:c>
      <x:c r="G139" s="17" t="n">
        <x:v>28</x:v>
      </x:c>
      <x:c r="H139" s="17" t="str">
        <x:v>APPLE</x:v>
      </x:c>
      <x:c r="I139" s="17" t="str">
        <x:v>Telefon</x:v>
      </x:c>
      <x:c r="J139" s="17" t="str">
        <x:v>Cep Telefonları</x:v>
      </x:c>
      <x:c r="K139" s="17" t="str">
        <x:v>APPLE iPhone 14 Pro Max 512GB Akıllı Telefon Silver MQAH3TU/A</x:v>
      </x:c>
      <x:c r="L139" s="17" t="str">
        <x:v>1223411</x:v>
      </x:c>
      <x:c r="M139" s="22" t="n">
        <x:v>89155</x:v>
      </x:c>
      <x:c r="N139" s="26" t="n">
        <x:v>18.8</x:v>
      </x:c>
      <x:c r="O139" s="22" t="n">
        <x:v>69</x:v>
      </x:c>
      <x:c r="P139" s="22" t="n">
        <x:v>103</x:v>
      </x:c>
      <x:c r="Q139" s="22" t="n">
        <x:v>0</x:v>
      </x:c>
      <x:c r="R139" s="17" t="n">
        <x:v>21</x:v>
      </x:c>
      <x:c r="S139" s="22" t="n">
        <x:v>34</x:v>
      </x:c>
      <x:c r="T139" s="24" t="n">
        <x:v>1.4</x:v>
      </x:c>
      <x:c r="U139" s="24" t="n">
        <x:f>IFERROR(O139/T139,0)</x:f>
        <x:v>49.28571428571429</x:v>
      </x:c>
      <x:c r="V139" s="17" t="str">
        <x:f>IF(O139&lt;=0,"out_of_stock",IF(U139&lt;7,"critical_low_stock",IF(U139&gt;60,"overstock","in_stock")))</x:f>
        <x:v>in_stock</x:v>
      </x:c>
      <x:c r="W139" s="17" t="str">
        <x:f>IF(O139&lt;=0,"OOS",IF(AND(U139&lt;7,AC139&gt;=0.5),"High Risk",IF(U139&lt;14,"Medium Risk",IF(U139&gt;60,"Overstock","Healthy"))))</x:f>
        <x:v>Healthy</x:v>
      </x:c>
      <x:c r="X139" s="22" t="n">
        <x:v>398</x:v>
      </x:c>
      <x:c r="Y139" s="22" t="n">
        <x:v>33</x:v>
      </x:c>
      <x:c r="Z139" s="22" t="n">
        <x:v>1</x:v>
      </x:c>
      <x:c r="AA139" s="24" t="n">
        <x:f>IFERROR(Y139/X139*100,0)</x:f>
        <x:v>8.291457286432161</x:v>
      </x:c>
      <x:c r="AB139" s="26" t="n">
        <x:v>-34.7</x:v>
      </x:c>
      <x:c r="AC139" s="24" t="n">
        <x:f>IFERROR(Z139/X139*100,0)</x:f>
        <x:v>0.25125628140703515</x:v>
      </x:c>
      <x:c r="AD139" s="26" t="n">
        <x:v>32.6</x:v>
      </x:c>
      <x:c r="AE139" s="22" t="n">
        <x:f>IFERROR(Z139*M139,0)</x:f>
        <x:v>89155</x:v>
      </x:c>
      <x:c r="AF139" s="26" t="n">
        <x:v>57</x:v>
      </x:c>
      <x:c r="AG139" s="24" t="n">
        <x:v>47.6</x:v>
      </x:c>
      <x:c r="AH139" s="26" t="n">
        <x:v>6.2</x:v>
      </x:c>
      <x:c r="AI139" s="22" t="n">
        <x:v>13</x:v>
      </x:c>
      <x:c r="AJ139" s="22" t="n">
        <x:v>6</x:v>
      </x:c>
      <x:c r="AK139" s="22" t="n">
        <x:v>3</x:v>
      </x:c>
      <x:c r="AL139" s="22" t="n">
        <x:v>2</x:v>
      </x:c>
      <x:c r="AM139" s="22" t="n">
        <x:v>2</x:v>
      </x:c>
      <x:c r="AN139" s="24" t="n">
        <x:f>IFERROR(AI139/X139*100,0)</x:f>
        <x:v>3.2663316582914574</x:v>
      </x:c>
      <x:c r="AO139" s="24" t="n">
        <x:f>IFERROR(AJ139/X139*100,0)</x:f>
        <x:v>1.507537688442211</x:v>
      </x:c>
      <x:c r="AP139" s="24" t="n">
        <x:f>IFERROR(AK139/X139*100,0)</x:f>
        <x:v>0.7537688442211055</x:v>
      </x:c>
      <x:c r="AQ139" s="24" t="n">
        <x:f>IFERROR(AL139/X139*100,0)</x:f>
        <x:v>0.5025125628140703</x:v>
      </x:c>
      <x:c r="AR139" s="24" t="n">
        <x:f>IFERROR(AM139/X139*100,0)</x:f>
        <x:v>0.5025125628140703</x:v>
      </x:c>
      <x:c r="AS139" s="24" t="n">
        <x:f>IFERROR(Z139/X139*100,0)</x:f>
        <x:v>0.25125628140703515</x:v>
      </x:c>
      <x:c r="AT139" s="26" t="n">
        <x:v>-27.4</x:v>
      </x:c>
      <x:c r="AU139" s="26" t="n">
        <x:v>-34.7</x:v>
      </x:c>
      <x:c r="AV139" s="26" t="n">
        <x:v>-49.8</x:v>
      </x:c>
      <x:c r="AW139" s="26" t="n">
        <x:v>-35.4</x:v>
      </x:c>
      <x:c r="AX139" s="26" t="n">
        <x:v>6.7</x:v>
      </x:c>
      <x:c r="AY139" s="26" t="n">
        <x:v>2.3</x:v>
      </x:c>
      <x:c r="AZ139" s="26" t="n">
        <x:v>-10.6</x:v>
      </x:c>
      <x:c r="BA139" s="26" t="n">
        <x:v>32.6</x:v>
      </x:c>
      <x:c r="BB139" s="22" t="n">
        <x:f>IFERROR(AE139/Z139,0)</x:f>
        <x:v>89155</x:v>
      </x:c>
      <x:c r="BC139" s="17" t="n">
        <x:f>IF(OR(V139="out_of_stock",V139="critical_low_stock"),MAX(0,(14-U139)*T139),0)</x:f>
        <x:v>0</x:v>
      </x:c>
      <x:c r="BD139" s="22" t="n">
        <x:f>IFERROR(BC139*M139,0)</x:f>
        <x:v>0</x:v>
      </x:c>
      <x:c r="BE139" s="17" t="str">
        <x:v>mobile_funnel_behavior</x:v>
      </x:c>
      <x:c r="BF139" s="17" t="str">
        <x:v>inspired_by_uploaded_mobile_funnel_screenshot + copied_product_context</x:v>
      </x:c>
    </x:row>
    <x:row r="140">
      <x:c r="A140" s="17" t="n">
        <x:v>139</x:v>
      </x:c>
      <x:c r="B140" s="17" t="str">
        <x:v>MOBILE_EVENT_FUNNEL</x:v>
      </x:c>
      <x:c r="C140" s="20" t="n">
        <x:v>46154</x:v>
      </x:c>
      <x:c r="D140" s="17" t="str">
        <x:v>Mobile Web</x:v>
      </x:c>
      <x:c r="E140" s="17" t="str">
        <x:v>Mobile</x:v>
      </x:c>
      <x:c r="F140" s="17" t="str">
        <x:v>Search Organic Brand</x:v>
      </x:c>
      <x:c r="G140" s="17" t="n">
        <x:v>7</x:v>
      </x:c>
      <x:c r="H140" s="17" t="str">
        <x:v>APPLE</x:v>
      </x:c>
      <x:c r="I140" s="17" t="str">
        <x:v>Telefon</x:v>
      </x:c>
      <x:c r="J140" s="17" t="str">
        <x:v>Kulaklıklar</x:v>
      </x:c>
      <x:c r="K140" s="17" t="str">
        <x:v>APPLE EarPods Kablolu Kulak İçi Kulaklık MYQY3TU/A</x:v>
      </x:c>
      <x:c r="L140" s="17" t="str">
        <x:v>1239458</x:v>
      </x:c>
      <x:c r="M140" s="22" t="n">
        <x:v>3752</x:v>
      </x:c>
      <x:c r="N140" s="26" t="n">
        <x:v>15</x:v>
      </x:c>
      <x:c r="O140" s="22" t="n">
        <x:v>393</x:v>
      </x:c>
      <x:c r="P140" s="22" t="n">
        <x:v>175</x:v>
      </x:c>
      <x:c r="Q140" s="22" t="n">
        <x:v>0</x:v>
      </x:c>
      <x:c r="R140" s="17" t="n">
        <x:v>10</x:v>
      </x:c>
      <x:c r="S140" s="22" t="n">
        <x:v>16</x:v>
      </x:c>
      <x:c r="T140" s="24" t="n">
        <x:v>1.2</x:v>
      </x:c>
      <x:c r="U140" s="24" t="n">
        <x:f>IFERROR(O140/T140,0)</x:f>
        <x:v>327.5</x:v>
      </x:c>
      <x:c r="V140" s="17" t="str">
        <x:f>IF(O140&lt;=0,"out_of_stock",IF(U140&lt;7,"critical_low_stock",IF(U140&gt;60,"overstock","in_stock")))</x:f>
        <x:v>overstock</x:v>
      </x:c>
      <x:c r="W140" s="17" t="str">
        <x:f>IF(O140&lt;=0,"OOS",IF(AND(U140&lt;7,AC140&gt;=0.5),"High Risk",IF(U140&lt;14,"Medium Risk",IF(U140&gt;60,"Overstock","Healthy"))))</x:f>
        <x:v>Overstock</x:v>
      </x:c>
      <x:c r="X140" s="22" t="n">
        <x:v>502</x:v>
      </x:c>
      <x:c r="Y140" s="22" t="n">
        <x:v>52</x:v>
      </x:c>
      <x:c r="Z140" s="22" t="n">
        <x:v>7</x:v>
      </x:c>
      <x:c r="AA140" s="24" t="n">
        <x:f>IFERROR(Y140/X140*100,0)</x:f>
        <x:v>10.358565737051793</x:v>
      </x:c>
      <x:c r="AB140" s="26" t="n">
        <x:v>-52.9</x:v>
      </x:c>
      <x:c r="AC140" s="24" t="n">
        <x:f>IFERROR(Z140/X140*100,0)</x:f>
        <x:v>1.394422310756972</x:v>
      </x:c>
      <x:c r="AD140" s="26" t="n">
        <x:v>-21.8</x:v>
      </x:c>
      <x:c r="AE140" s="22" t="n">
        <x:f>IFERROR(Z140*M140,0)</x:f>
        <x:v>26264</x:v>
      </x:c>
      <x:c r="AF140" s="26" t="n">
        <x:v>2.2</x:v>
      </x:c>
      <x:c r="AG140" s="24" t="n">
        <x:v>47.4</x:v>
      </x:c>
      <x:c r="AH140" s="26" t="n">
        <x:v>13.8</x:v>
      </x:c>
      <x:c r="AI140" s="22" t="n">
        <x:v>47</x:v>
      </x:c>
      <x:c r="AJ140" s="22" t="n">
        <x:v>37</x:v>
      </x:c>
      <x:c r="AK140" s="22" t="n">
        <x:v>18</x:v>
      </x:c>
      <x:c r="AL140" s="22" t="n">
        <x:v>16</x:v>
      </x:c>
      <x:c r="AM140" s="22" t="n">
        <x:v>9</x:v>
      </x:c>
      <x:c r="AN140" s="24" t="n">
        <x:f>IFERROR(AI140/X140*100,0)</x:f>
        <x:v>9.362549800796813</x:v>
      </x:c>
      <x:c r="AO140" s="24" t="n">
        <x:f>IFERROR(AJ140/X140*100,0)</x:f>
        <x:v>7.370517928286853</x:v>
      </x:c>
      <x:c r="AP140" s="24" t="n">
        <x:f>IFERROR(AK140/X140*100,0)</x:f>
        <x:v>3.5856573705179287</x:v>
      </x:c>
      <x:c r="AQ140" s="24" t="n">
        <x:f>IFERROR(AL140/X140*100,0)</x:f>
        <x:v>3.187250996015936</x:v>
      </x:c>
      <x:c r="AR140" s="24" t="n">
        <x:f>IFERROR(AM140/X140*100,0)</x:f>
        <x:v>1.7928286852589643</x:v>
      </x:c>
      <x:c r="AS140" s="24" t="n">
        <x:f>IFERROR(Z140/X140*100,0)</x:f>
        <x:v>1.394422310756972</x:v>
      </x:c>
      <x:c r="AT140" s="26" t="n">
        <x:v>10.9</x:v>
      </x:c>
      <x:c r="AU140" s="26" t="n">
        <x:v>-52.9</x:v>
      </x:c>
      <x:c r="AV140" s="26" t="n">
        <x:v>-62.9</x:v>
      </x:c>
      <x:c r="AW140" s="26" t="n">
        <x:v>-64.8</x:v>
      </x:c>
      <x:c r="AX140" s="26" t="n">
        <x:v>-12.9</x:v>
      </x:c>
      <x:c r="AY140" s="26" t="n">
        <x:v>-49.7</x:v>
      </x:c>
      <x:c r="AZ140" s="26" t="n">
        <x:v>9.5</x:v>
      </x:c>
      <x:c r="BA140" s="26" t="n">
        <x:v>-21.8</x:v>
      </x:c>
      <x:c r="BB140" s="22" t="n">
        <x:f>IFERROR(AE140/Z140,0)</x:f>
        <x:v>3752</x:v>
      </x:c>
      <x:c r="BC140" s="17" t="n">
        <x:f>IF(OR(V140="out_of_stock",V140="critical_low_stock"),MAX(0,(14-U140)*T140),0)</x:f>
        <x:v>0</x:v>
      </x:c>
      <x:c r="BD140" s="22" t="n">
        <x:f>IFERROR(BC140*M140,0)</x:f>
        <x:v>0</x:v>
      </x:c>
      <x:c r="BE140" s="17" t="str">
        <x:v>mobile_funnel_behavior</x:v>
      </x:c>
      <x:c r="BF140" s="17" t="str">
        <x:v>inspired_by_uploaded_mobile_funnel_screenshot + copied_product_context</x:v>
      </x:c>
    </x:row>
    <x:row r="141">
      <x:c r="A141" s="17" t="n">
        <x:v>140</x:v>
      </x:c>
      <x:c r="B141" s="17" t="str">
        <x:v>MOBILE_EVENT_FUNNEL</x:v>
      </x:c>
      <x:c r="C141" s="20" t="n">
        <x:v>46155</x:v>
      </x:c>
      <x:c r="D141" s="17" t="str">
        <x:v>Mobile Web</x:v>
      </x:c>
      <x:c r="E141" s="17" t="str">
        <x:v>Mobile</x:v>
      </x:c>
      <x:c r="F141" s="17" t="str">
        <x:v>Price Comparison</x:v>
      </x:c>
      <x:c r="G141" s="17" t="n">
        <x:v>34</x:v>
      </x:c>
      <x:c r="H141" s="17" t="str">
        <x:v>ROBOROCK</x:v>
      </x:c>
      <x:c r="I141" s="17" t="str">
        <x:v>Ev Aletleri &amp; Yaşam</x:v>
      </x:c>
      <x:c r="J141" s="17" t="str">
        <x:v>Süpürgeler</x:v>
      </x:c>
      <x:c r="K141" s="17" t="str">
        <x:v>ROBOROCK S8 Pro Robot Süpürge Beyaz</x:v>
      </x:c>
      <x:c r="L141" s="17" t="str">
        <x:v>1246707</x:v>
      </x:c>
      <x:c r="M141" s="22" t="n">
        <x:v>39565</x:v>
      </x:c>
      <x:c r="N141" s="26" t="n">
        <x:v>16.9</x:v>
      </x:c>
      <x:c r="O141" s="22" t="n">
        <x:v>37</x:v>
      </x:c>
      <x:c r="P141" s="22" t="n">
        <x:v>36</x:v>
      </x:c>
      <x:c r="Q141" s="22" t="n">
        <x:v>0</x:v>
      </x:c>
      <x:c r="R141" s="17" t="n">
        <x:v>5</x:v>
      </x:c>
      <x:c r="S141" s="22" t="n">
        <x:v>10</x:v>
      </x:c>
      <x:c r="T141" s="24" t="n">
        <x:v>1.2</x:v>
      </x:c>
      <x:c r="U141" s="24" t="n">
        <x:f>IFERROR(O141/T141,0)</x:f>
        <x:v>30.833333333333336</x:v>
      </x:c>
      <x:c r="V141" s="17" t="str">
        <x:f>IF(O141&lt;=0,"out_of_stock",IF(U141&lt;7,"critical_low_stock",IF(U141&gt;60,"overstock","in_stock")))</x:f>
        <x:v>in_stock</x:v>
      </x:c>
      <x:c r="W141" s="17" t="str">
        <x:f>IF(O141&lt;=0,"OOS",IF(AND(U141&lt;7,AC141&gt;=0.5),"High Risk",IF(U141&lt;14,"Medium Risk",IF(U141&gt;60,"Overstock","Healthy"))))</x:f>
        <x:v>Healthy</x:v>
      </x:c>
      <x:c r="X141" s="22" t="n">
        <x:v>717</x:v>
      </x:c>
      <x:c r="Y141" s="22" t="n">
        <x:v>79</x:v>
      </x:c>
      <x:c r="Z141" s="22" t="n">
        <x:v>3</x:v>
      </x:c>
      <x:c r="AA141" s="24" t="n">
        <x:f>IFERROR(Y141/X141*100,0)</x:f>
        <x:v>11.01813110181311</x:v>
      </x:c>
      <x:c r="AB141" s="26" t="n">
        <x:v>-90.1</x:v>
      </x:c>
      <x:c r="AC141" s="24" t="n">
        <x:f>IFERROR(Z141/X141*100,0)</x:f>
        <x:v>0.41841004184100417</x:v>
      </x:c>
      <x:c r="AD141" s="26" t="n">
        <x:v>-34.7</x:v>
      </x:c>
      <x:c r="AE141" s="22" t="n">
        <x:f>IFERROR(Z141*M141,0)</x:f>
        <x:v>118695</x:v>
      </x:c>
      <x:c r="AF141" s="26" t="n">
        <x:v>-26.3</x:v>
      </x:c>
      <x:c r="AG141" s="24" t="n">
        <x:v>46.9</x:v>
      </x:c>
      <x:c r="AH141" s="26" t="n">
        <x:v>-3.4</x:v>
      </x:c>
      <x:c r="AI141" s="22" t="n">
        <x:v>63</x:v>
      </x:c>
      <x:c r="AJ141" s="22" t="n">
        <x:v>49</x:v>
      </x:c>
      <x:c r="AK141" s="22" t="n">
        <x:v>35</x:v>
      </x:c>
      <x:c r="AL141" s="22" t="n">
        <x:v>25</x:v>
      </x:c>
      <x:c r="AM141" s="22" t="n">
        <x:v>4</x:v>
      </x:c>
      <x:c r="AN141" s="24" t="n">
        <x:f>IFERROR(AI141/X141*100,0)</x:f>
        <x:v>8.786610878661087</x:v>
      </x:c>
      <x:c r="AO141" s="24" t="n">
        <x:f>IFERROR(AJ141/X141*100,0)</x:f>
        <x:v>6.834030683403068</x:v>
      </x:c>
      <x:c r="AP141" s="24" t="n">
        <x:f>IFERROR(AK141/X141*100,0)</x:f>
        <x:v>4.881450488145049</x:v>
      </x:c>
      <x:c r="AQ141" s="24" t="n">
        <x:f>IFERROR(AL141/X141*100,0)</x:f>
        <x:v>3.486750348675035</x:v>
      </x:c>
      <x:c r="AR141" s="24" t="n">
        <x:f>IFERROR(AM141/X141*100,0)</x:f>
        <x:v>0.5578800557880056</x:v>
      </x:c>
      <x:c r="AS141" s="24" t="n">
        <x:f>IFERROR(Z141/X141*100,0)</x:f>
        <x:v>0.41841004184100417</x:v>
      </x:c>
      <x:c r="AT141" s="26" t="n">
        <x:v>15.4</x:v>
      </x:c>
      <x:c r="AU141" s="26" t="n">
        <x:v>-90.1</x:v>
      </x:c>
      <x:c r="AV141" s="26" t="n">
        <x:v>-1.6</x:v>
      </x:c>
      <x:c r="AW141" s="26" t="n">
        <x:v>2.5</x:v>
      </x:c>
      <x:c r="AX141" s="26" t="n">
        <x:v>5.5</x:v>
      </x:c>
      <x:c r="AY141" s="26" t="n">
        <x:v>-5.2</x:v>
      </x:c>
      <x:c r="AZ141" s="26" t="n">
        <x:v>-34.9</x:v>
      </x:c>
      <x:c r="BA141" s="26" t="n">
        <x:v>-34.7</x:v>
      </x:c>
      <x:c r="BB141" s="22" t="n">
        <x:f>IFERROR(AE141/Z141,0)</x:f>
        <x:v>39565</x:v>
      </x:c>
      <x:c r="BC141" s="17" t="n">
        <x:f>IF(OR(V141="out_of_stock",V141="critical_low_stock"),MAX(0,(14-U141)*T141),0)</x:f>
        <x:v>0</x:v>
      </x:c>
      <x:c r="BD141" s="22" t="n">
        <x:f>IFERROR(BC141*M141,0)</x:f>
        <x:v>0</x:v>
      </x:c>
      <x:c r="BE141" s="17" t="str">
        <x:v>mobile_funnel_behavior</x:v>
      </x:c>
      <x:c r="BF141" s="17" t="str">
        <x:v>inspired_by_uploaded_mobile_funnel_screenshot + copied_product_context</x:v>
      </x:c>
    </x:row>
    <x:row r="142">
      <x:c r="A142" s="17" t="n">
        <x:v>141</x:v>
      </x:c>
      <x:c r="B142" s="17" t="str">
        <x:v>MOBILE_EVENT_FUNNEL</x:v>
      </x:c>
      <x:c r="C142" s="20" t="n">
        <x:v>46156</x:v>
      </x:c>
      <x:c r="D142" s="17" t="str">
        <x:v>Mobile Web</x:v>
      </x:c>
      <x:c r="E142" s="17" t="str">
        <x:v>Mobile</x:v>
      </x:c>
      <x:c r="F142" s="17" t="str">
        <x:v>Search Paid Brand</x:v>
      </x:c>
      <x:c r="G142" s="17" t="n">
        <x:v>99</x:v>
      </x:c>
      <x:c r="H142" s="17" t="str">
        <x:v>PHILIPS</x:v>
      </x:c>
      <x:c r="I142" s="17" t="str">
        <x:v>Other</x:v>
      </x:c>
      <x:c r="J142" s="17" t="str">
        <x:v>Other</x:v>
      </x:c>
      <x:c r="K142" s="17" t="str">
        <x:v>PHILIPS Lumea 9900 Serisi BRI950/02 IPL Tüy Alma, SkinAI Uygulama, Vücut ve Yüz için 2 Başlık, Çanta</x:v>
      </x:c>
      <x:c r="L142" s="17" t="str">
        <x:v>1248715</x:v>
      </x:c>
      <x:c r="M142" s="22" t="n">
        <x:v>13701</x:v>
      </x:c>
      <x:c r="N142" s="26" t="n">
        <x:v>13.5</x:v>
      </x:c>
      <x:c r="O142" s="22" t="n">
        <x:v>144</x:v>
      </x:c>
      <x:c r="P142" s="22" t="n">
        <x:v>202</x:v>
      </x:c>
      <x:c r="Q142" s="22" t="n">
        <x:v>0</x:v>
      </x:c>
      <x:c r="R142" s="17" t="n">
        <x:v>7</x:v>
      </x:c>
      <x:c r="S142" s="22" t="n">
        <x:v>16</x:v>
      </x:c>
      <x:c r="T142" s="24" t="n">
        <x:v>1.6</x:v>
      </x:c>
      <x:c r="U142" s="24" t="n">
        <x:f>IFERROR(O142/T142,0)</x:f>
        <x:v>90</x:v>
      </x:c>
      <x:c r="V142" s="17" t="str">
        <x:f>IF(O142&lt;=0,"out_of_stock",IF(U142&lt;7,"critical_low_stock",IF(U142&gt;60,"overstock","in_stock")))</x:f>
        <x:v>overstock</x:v>
      </x:c>
      <x:c r="W142" s="17" t="str">
        <x:f>IF(O142&lt;=0,"OOS",IF(AND(U142&lt;7,AC142&gt;=0.5),"High Risk",IF(U142&lt;14,"Medium Risk",IF(U142&gt;60,"Overstock","Healthy"))))</x:f>
        <x:v>Overstock</x:v>
      </x:c>
      <x:c r="X142" s="22" t="n">
        <x:v>154</x:v>
      </x:c>
      <x:c r="Y142" s="22" t="n">
        <x:v>9</x:v>
      </x:c>
      <x:c r="Z142" s="22" t="n">
        <x:v>1</x:v>
      </x:c>
      <x:c r="AA142" s="24" t="n">
        <x:f>IFERROR(Y142/X142*100,0)</x:f>
        <x:v>5.844155844155844</x:v>
      </x:c>
      <x:c r="AB142" s="26" t="n">
        <x:v>-20.9</x:v>
      </x:c>
      <x:c r="AC142" s="24" t="n">
        <x:f>IFERROR(Z142/X142*100,0)</x:f>
        <x:v>0.6493506493506493</x:v>
      </x:c>
      <x:c r="AD142" s="26" t="n">
        <x:v>-39.5</x:v>
      </x:c>
      <x:c r="AE142" s="22" t="n">
        <x:f>IFERROR(Z142*M142,0)</x:f>
        <x:v>13701</x:v>
      </x:c>
      <x:c r="AF142" s="26" t="n">
        <x:v>-16.1</x:v>
      </x:c>
      <x:c r="AG142" s="24" t="n">
        <x:v>42.8</x:v>
      </x:c>
      <x:c r="AH142" s="26" t="n">
        <x:v>7.3</x:v>
      </x:c>
      <x:c r="AI142" s="22" t="n">
        <x:v>4</x:v>
      </x:c>
      <x:c r="AJ142" s="22" t="n">
        <x:v>2</x:v>
      </x:c>
      <x:c r="AK142" s="22" t="n">
        <x:v>2</x:v>
      </x:c>
      <x:c r="AL142" s="22" t="n">
        <x:v>2</x:v>
      </x:c>
      <x:c r="AM142" s="22" t="n">
        <x:v>2</x:v>
      </x:c>
      <x:c r="AN142" s="24" t="n">
        <x:f>IFERROR(AI142/X142*100,0)</x:f>
        <x:v>2.5974025974025974</x:v>
      </x:c>
      <x:c r="AO142" s="24" t="n">
        <x:f>IFERROR(AJ142/X142*100,0)</x:f>
        <x:v>1.2987012987012987</x:v>
      </x:c>
      <x:c r="AP142" s="24" t="n">
        <x:f>IFERROR(AK142/X142*100,0)</x:f>
        <x:v>1.2987012987012987</x:v>
      </x:c>
      <x:c r="AQ142" s="24" t="n">
        <x:f>IFERROR(AL142/X142*100,0)</x:f>
        <x:v>1.2987012987012987</x:v>
      </x:c>
      <x:c r="AR142" s="24" t="n">
        <x:f>IFERROR(AM142/X142*100,0)</x:f>
        <x:v>1.2987012987012987</x:v>
      </x:c>
      <x:c r="AS142" s="24" t="n">
        <x:f>IFERROR(Z142/X142*100,0)</x:f>
        <x:v>0.6493506493506493</x:v>
      </x:c>
      <x:c r="AT142" s="26" t="n">
        <x:v>11.4</x:v>
      </x:c>
      <x:c r="AU142" s="26" t="n">
        <x:v>-20.9</x:v>
      </x:c>
      <x:c r="AV142" s="26" t="n">
        <x:v>-29.9</x:v>
      </x:c>
      <x:c r="AW142" s="26" t="n">
        <x:v>-49.5</x:v>
      </x:c>
      <x:c r="AX142" s="26" t="n">
        <x:v>-5.8</x:v>
      </x:c>
      <x:c r="AY142" s="26" t="n">
        <x:v>-55.5</x:v>
      </x:c>
      <x:c r="AZ142" s="26" t="n">
        <x:v>-1</x:v>
      </x:c>
      <x:c r="BA142" s="26" t="n">
        <x:v>-39.5</x:v>
      </x:c>
      <x:c r="BB142" s="22" t="n">
        <x:f>IFERROR(AE142/Z142,0)</x:f>
        <x:v>13701</x:v>
      </x:c>
      <x:c r="BC142" s="17" t="n">
        <x:f>IF(OR(V142="out_of_stock",V142="critical_low_stock"),MAX(0,(14-U142)*T142),0)</x:f>
        <x:v>0</x:v>
      </x:c>
      <x:c r="BD142" s="22" t="n">
        <x:f>IFERROR(BC142*M142,0)</x:f>
        <x:v>0</x:v>
      </x:c>
      <x:c r="BE142" s="17" t="str">
        <x:v>mobile_funnel_behavior</x:v>
      </x:c>
      <x:c r="BF142" s="17" t="str">
        <x:v>inspired_by_uploaded_mobile_funnel_screenshot + copied_product_context</x:v>
      </x:c>
    </x:row>
    <x:row r="143">
      <x:c r="A143" s="17" t="n">
        <x:v>142</x:v>
      </x:c>
      <x:c r="B143" s="17" t="str">
        <x:v>MOBILE_EVENT_FUNNEL</x:v>
      </x:c>
      <x:c r="C143" s="20" t="n">
        <x:v>46143</x:v>
      </x:c>
      <x:c r="D143" s="17" t="str">
        <x:v>Mobile Web</x:v>
      </x:c>
      <x:c r="E143" s="17" t="str">
        <x:v>Mobile</x:v>
      </x:c>
      <x:c r="F143" s="17" t="str">
        <x:v>CRM</x:v>
      </x:c>
      <x:c r="G143" s="17" t="n">
        <x:v>28</x:v>
      </x:c>
      <x:c r="H143" s="17" t="str">
        <x:v>SAMSUNG</x:v>
      </x:c>
      <x:c r="I143" s="17" t="str">
        <x:v>Telefon</x:v>
      </x:c>
      <x:c r="J143" s="17" t="str">
        <x:v>Cep Telefonları</x:v>
      </x:c>
      <x:c r="K143" s="17" t="str">
        <x:v>SAMSUNG Galaxy S25 FE 5G 8/256 GB Akıllı Telefon Gece Siyahı</x:v>
      </x:c>
      <x:c r="L143" s="17" t="str">
        <x:v>1249061</x:v>
      </x:c>
      <x:c r="M143" s="22" t="n">
        <x:v>34953</x:v>
      </x:c>
      <x:c r="N143" s="26" t="n">
        <x:v>-1.1</x:v>
      </x:c>
      <x:c r="O143" s="22" t="n">
        <x:v>146</x:v>
      </x:c>
      <x:c r="P143" s="22" t="n">
        <x:v>196</x:v>
      </x:c>
      <x:c r="Q143" s="22" t="n">
        <x:v>0</x:v>
      </x:c>
      <x:c r="R143" s="17" t="n">
        <x:v>3</x:v>
      </x:c>
      <x:c r="S143" s="22" t="n">
        <x:v>22</x:v>
      </x:c>
      <x:c r="T143" s="24" t="n">
        <x:v>3.6</x:v>
      </x:c>
      <x:c r="U143" s="24" t="n">
        <x:f>IFERROR(O143/T143,0)</x:f>
        <x:v>40.55555555555556</x:v>
      </x:c>
      <x:c r="V143" s="17" t="str">
        <x:f>IF(O143&lt;=0,"out_of_stock",IF(U143&lt;7,"critical_low_stock",IF(U143&gt;60,"overstock","in_stock")))</x:f>
        <x:v>in_stock</x:v>
      </x:c>
      <x:c r="W143" s="17" t="str">
        <x:f>IF(O143&lt;=0,"OOS",IF(AND(U143&lt;7,AC143&gt;=0.5),"High Risk",IF(U143&lt;14,"Medium Risk",IF(U143&gt;60,"Overstock","Healthy"))))</x:f>
        <x:v>Healthy</x:v>
      </x:c>
      <x:c r="X143" s="22" t="n">
        <x:v>1364</x:v>
      </x:c>
      <x:c r="Y143" s="22" t="n">
        <x:v>160</x:v>
      </x:c>
      <x:c r="Z143" s="22" t="n">
        <x:v>15</x:v>
      </x:c>
      <x:c r="AA143" s="24" t="n">
        <x:f>IFERROR(Y143/X143*100,0)</x:f>
        <x:v>11.730205278592376</x:v>
      </x:c>
      <x:c r="AB143" s="26" t="n">
        <x:v>-62.4</x:v>
      </x:c>
      <x:c r="AC143" s="24" t="n">
        <x:f>IFERROR(Z143/X143*100,0)</x:f>
        <x:v>1.0997067448680353</x:v>
      </x:c>
      <x:c r="AD143" s="26" t="n">
        <x:v>-76.6</x:v>
      </x:c>
      <x:c r="AE143" s="22" t="n">
        <x:f>IFERROR(Z143*M143,0)</x:f>
        <x:v>524295</x:v>
      </x:c>
      <x:c r="AF143" s="26" t="n">
        <x:v>-86.7</x:v>
      </x:c>
      <x:c r="AG143" s="24" t="n">
        <x:v>63.8</x:v>
      </x:c>
      <x:c r="AH143" s="26" t="n">
        <x:v>9.4</x:v>
      </x:c>
      <x:c r="AI143" s="22" t="n">
        <x:v>141</x:v>
      </x:c>
      <x:c r="AJ143" s="22" t="n">
        <x:v>58</x:v>
      </x:c>
      <x:c r="AK143" s="22" t="n">
        <x:v>42</x:v>
      </x:c>
      <x:c r="AL143" s="22" t="n">
        <x:v>41</x:v>
      </x:c>
      <x:c r="AM143" s="22" t="n">
        <x:v>21</x:v>
      </x:c>
      <x:c r="AN143" s="24" t="n">
        <x:f>IFERROR(AI143/X143*100,0)</x:f>
        <x:v>10.337243401759531</x:v>
      </x:c>
      <x:c r="AO143" s="24" t="n">
        <x:f>IFERROR(AJ143/X143*100,0)</x:f>
        <x:v>4.252199413489736</x:v>
      </x:c>
      <x:c r="AP143" s="24" t="n">
        <x:f>IFERROR(AK143/X143*100,0)</x:f>
        <x:v>3.0791788856304985</x:v>
      </x:c>
      <x:c r="AQ143" s="24" t="n">
        <x:f>IFERROR(AL143/X143*100,0)</x:f>
        <x:v>3.005865102639296</x:v>
      </x:c>
      <x:c r="AR143" s="24" t="n">
        <x:f>IFERROR(AM143/X143*100,0)</x:f>
        <x:v>1.5395894428152492</x:v>
      </x:c>
      <x:c r="AS143" s="24" t="n">
        <x:f>IFERROR(Z143/X143*100,0)</x:f>
        <x:v>1.0997067448680353</x:v>
      </x:c>
      <x:c r="AT143" s="26" t="n">
        <x:v>3.8</x:v>
      </x:c>
      <x:c r="AU143" s="26" t="n">
        <x:v>-62.4</x:v>
      </x:c>
      <x:c r="AV143" s="26" t="n">
        <x:v>-7.9</x:v>
      </x:c>
      <x:c r="AW143" s="26" t="n">
        <x:v>-33.5</x:v>
      </x:c>
      <x:c r="AX143" s="26" t="n">
        <x:v>-5.8</x:v>
      </x:c>
      <x:c r="AY143" s="26" t="n">
        <x:v>-27.7</x:v>
      </x:c>
      <x:c r="AZ143" s="26" t="n">
        <x:v>-11.4</x:v>
      </x:c>
      <x:c r="BA143" s="26" t="n">
        <x:v>-76.6</x:v>
      </x:c>
      <x:c r="BB143" s="22" t="n">
        <x:f>IFERROR(AE143/Z143,0)</x:f>
        <x:v>34953</x:v>
      </x:c>
      <x:c r="BC143" s="17" t="n">
        <x:f>IF(OR(V143="out_of_stock",V143="critical_low_stock"),MAX(0,(14-U143)*T143),0)</x:f>
        <x:v>0</x:v>
      </x:c>
      <x:c r="BD143" s="22" t="n">
        <x:f>IFERROR(BC143*M143,0)</x:f>
        <x:v>0</x:v>
      </x:c>
      <x:c r="BE143" s="17" t="str">
        <x:v>mobile_funnel_behavior</x:v>
      </x:c>
      <x:c r="BF143" s="17" t="str">
        <x:v>inspired_by_uploaded_mobile_funnel_screenshot + copied_product_context</x:v>
      </x:c>
    </x:row>
    <x:row r="144">
      <x:c r="A144" s="17" t="n">
        <x:v>143</x:v>
      </x:c>
      <x:c r="B144" s="17" t="str">
        <x:v>MOBILE_EVENT_FUNNEL</x:v>
      </x:c>
      <x:c r="C144" s="20" t="n">
        <x:v>46144</x:v>
      </x:c>
      <x:c r="D144" s="17" t="str">
        <x:v>Mobile Web</x:v>
      </x:c>
      <x:c r="E144" s="17" t="str">
        <x:v>Mobile</x:v>
      </x:c>
      <x:c r="F144" s="17" t="str">
        <x:v>CRM</x:v>
      </x:c>
      <x:c r="G144" s="17" t="n">
        <x:v>99</x:v>
      </x:c>
      <x:c r="H144" s="17" t="str">
        <x:v>ONVO</x:v>
      </x:c>
      <x:c r="I144" s="17" t="str">
        <x:v>Other</x:v>
      </x:c>
      <x:c r="J144" s="17" t="str">
        <x:v>Other</x:v>
      </x:c>
      <x:c r="K144" s="17" t="str">
        <x:v>ONVO OV-012 X Plus 1600W 50KM Menzil Elektrikli Scooter</x:v>
      </x:c>
      <x:c r="L144" s="17" t="str">
        <x:v>1228484</x:v>
      </x:c>
      <x:c r="M144" s="22" t="n">
        <x:v>24617</x:v>
      </x:c>
      <x:c r="N144" s="26" t="n">
        <x:v>12.2</x:v>
      </x:c>
      <x:c r="O144" s="22" t="n">
        <x:v>21</x:v>
      </x:c>
      <x:c r="P144" s="22" t="n">
        <x:v>16</x:v>
      </x:c>
      <x:c r="Q144" s="22" t="n">
        <x:v>0</x:v>
      </x:c>
      <x:c r="R144" s="17" t="n">
        <x:v>3</x:v>
      </x:c>
      <x:c r="S144" s="22" t="n">
        <x:v>8</x:v>
      </x:c>
      <x:c r="T144" s="24" t="n">
        <x:v>1.3</x:v>
      </x:c>
      <x:c r="U144" s="24" t="n">
        <x:f>IFERROR(O144/T144,0)</x:f>
        <x:v>16.153846153846153</x:v>
      </x:c>
      <x:c r="V144" s="17" t="str">
        <x:f>IF(O144&lt;=0,"out_of_stock",IF(U144&lt;7,"critical_low_stock",IF(U144&gt;60,"overstock","in_stock")))</x:f>
        <x:v>in_stock</x:v>
      </x:c>
      <x:c r="W144" s="17" t="str">
        <x:f>IF(O144&lt;=0,"OOS",IF(AND(U144&lt;7,AC144&gt;=0.5),"High Risk",IF(U144&lt;14,"Medium Risk",IF(U144&gt;60,"Overstock","Healthy"))))</x:f>
        <x:v>Healthy</x:v>
      </x:c>
      <x:c r="X144" s="22" t="n">
        <x:v>300</x:v>
      </x:c>
      <x:c r="Y144" s="22" t="n">
        <x:v>14</x:v>
      </x:c>
      <x:c r="Z144" s="22" t="n">
        <x:v>1</x:v>
      </x:c>
      <x:c r="AA144" s="24" t="n">
        <x:f>IFERROR(Y144/X144*100,0)</x:f>
        <x:v>4.666666666666667</x:v>
      </x:c>
      <x:c r="AB144" s="26" t="n">
        <x:v>-42.9</x:v>
      </x:c>
      <x:c r="AC144" s="24" t="n">
        <x:f>IFERROR(Z144/X144*100,0)</x:f>
        <x:v>0.33333333333333337</x:v>
      </x:c>
      <x:c r="AD144" s="26" t="n">
        <x:v>-37.9</x:v>
      </x:c>
      <x:c r="AE144" s="22" t="n">
        <x:f>IFERROR(Z144*M144,0)</x:f>
        <x:v>24617</x:v>
      </x:c>
      <x:c r="AF144" s="26" t="n">
        <x:v>-23.8</x:v>
      </x:c>
      <x:c r="AG144" s="24" t="n">
        <x:v>45.3</x:v>
      </x:c>
      <x:c r="AH144" s="26" t="n">
        <x:v>0.3</x:v>
      </x:c>
      <x:c r="AI144" s="22" t="n">
        <x:v>8</x:v>
      </x:c>
      <x:c r="AJ144" s="22" t="n">
        <x:v>6</x:v>
      </x:c>
      <x:c r="AK144" s="22" t="n">
        <x:v>4</x:v>
      </x:c>
      <x:c r="AL144" s="22" t="n">
        <x:v>3</x:v>
      </x:c>
      <x:c r="AM144" s="22" t="n">
        <x:v>2</x:v>
      </x:c>
      <x:c r="AN144" s="24" t="n">
        <x:f>IFERROR(AI144/X144*100,0)</x:f>
        <x:v>2.666666666666667</x:v>
      </x:c>
      <x:c r="AO144" s="24" t="n">
        <x:f>IFERROR(AJ144/X144*100,0)</x:f>
        <x:v>2</x:v>
      </x:c>
      <x:c r="AP144" s="24" t="n">
        <x:f>IFERROR(AK144/X144*100,0)</x:f>
        <x:v>1.3333333333333335</x:v>
      </x:c>
      <x:c r="AQ144" s="24" t="n">
        <x:f>IFERROR(AL144/X144*100,0)</x:f>
        <x:v>1</x:v>
      </x:c>
      <x:c r="AR144" s="24" t="n">
        <x:f>IFERROR(AM144/X144*100,0)</x:f>
        <x:v>0.6666666666666667</x:v>
      </x:c>
      <x:c r="AS144" s="24" t="n">
        <x:f>IFERROR(Z144/X144*100,0)</x:f>
        <x:v>0.33333333333333337</x:v>
      </x:c>
      <x:c r="AT144" s="26" t="n">
        <x:v>11.2</x:v>
      </x:c>
      <x:c r="AU144" s="26" t="n">
        <x:v>-42.9</x:v>
      </x:c>
      <x:c r="AV144" s="26" t="n">
        <x:v>-13.3</x:v>
      </x:c>
      <x:c r="AW144" s="26" t="n">
        <x:v>-9.5</x:v>
      </x:c>
      <x:c r="AX144" s="26" t="n">
        <x:v>-2.6</x:v>
      </x:c>
      <x:c r="AY144" s="26" t="n">
        <x:v>-34.5</x:v>
      </x:c>
      <x:c r="AZ144" s="26" t="n">
        <x:v>-11.6</x:v>
      </x:c>
      <x:c r="BA144" s="26" t="n">
        <x:v>-37.9</x:v>
      </x:c>
      <x:c r="BB144" s="22" t="n">
        <x:f>IFERROR(AE144/Z144,0)</x:f>
        <x:v>24617</x:v>
      </x:c>
      <x:c r="BC144" s="17" t="n">
        <x:f>IF(OR(V144="out_of_stock",V144="critical_low_stock"),MAX(0,(14-U144)*T144),0)</x:f>
        <x:v>0</x:v>
      </x:c>
      <x:c r="BD144" s="22" t="n">
        <x:f>IFERROR(BC144*M144,0)</x:f>
        <x:v>0</x:v>
      </x:c>
      <x:c r="BE144" s="17" t="str">
        <x:v>mobile_funnel_behavior</x:v>
      </x:c>
      <x:c r="BF144" s="17" t="str">
        <x:v>inspired_by_uploaded_mobile_funnel_screenshot + copied_product_context</x:v>
      </x:c>
    </x:row>
    <x:row r="145">
      <x:c r="A145" s="17" t="n">
        <x:v>144</x:v>
      </x:c>
      <x:c r="B145" s="17" t="str">
        <x:v>MOBILE_EVENT_FUNNEL</x:v>
      </x:c>
      <x:c r="C145" s="20" t="n">
        <x:v>46145</x:v>
      </x:c>
      <x:c r="D145" s="17" t="str">
        <x:v>Mobile Web</x:v>
      </x:c>
      <x:c r="E145" s="17" t="str">
        <x:v>Mobile</x:v>
      </x:c>
      <x:c r="F145" s="17" t="str">
        <x:v>Search Paid Generic</x:v>
      </x:c>
      <x:c r="G145" s="17" t="n">
        <x:v>99</x:v>
      </x:c>
      <x:c r="H145" s="17" t="str">
        <x:v>BRAUN</x:v>
      </x:c>
      <x:c r="I145" s="17" t="str">
        <x:v>Other</x:v>
      </x:c>
      <x:c r="J145" s="17" t="str">
        <x:v>Other</x:v>
      </x:c>
      <x:c r="K145" s="17" t="str">
        <x:v>BRAUN FACE FS1000 Mini Tüy Alma Cihazı Beyaz</x:v>
      </x:c>
      <x:c r="L145" s="17" t="str">
        <x:v>1215714</x:v>
      </x:c>
      <x:c r="M145" s="22" t="n">
        <x:v>17561</x:v>
      </x:c>
      <x:c r="N145" s="26" t="n">
        <x:v>18</x:v>
      </x:c>
      <x:c r="O145" s="22" t="n">
        <x:v>3</x:v>
      </x:c>
      <x:c r="P145" s="22" t="n">
        <x:v>2</x:v>
      </x:c>
      <x:c r="Q145" s="22" t="n">
        <x:v>13</x:v>
      </x:c>
      <x:c r="R145" s="17" t="n">
        <x:v>5</x:v>
      </x:c>
      <x:c r="S145" s="22" t="n">
        <x:v>9</x:v>
      </x:c>
      <x:c r="T145" s="24" t="n">
        <x:v>1.1</x:v>
      </x:c>
      <x:c r="U145" s="24" t="n">
        <x:f>IFERROR(O145/T145,0)</x:f>
        <x:v>2.727272727272727</x:v>
      </x:c>
      <x:c r="V145" s="17" t="str">
        <x:f>IF(O145&lt;=0,"out_of_stock",IF(U145&lt;7,"critical_low_stock",IF(U145&gt;60,"overstock","in_stock")))</x:f>
        <x:v>critical_low_stock</x:v>
      </x:c>
      <x:c r="W145" s="17" t="str">
        <x:f>IF(O145&lt;=0,"OOS",IF(AND(U145&lt;7,AC145&gt;=0.5),"High Risk",IF(U145&lt;14,"Medium Risk",IF(U145&gt;60,"Overstock","Healthy"))))</x:f>
        <x:v>Medium Risk</x:v>
      </x:c>
      <x:c r="X145" s="22" t="n">
        <x:v>100</x:v>
      </x:c>
      <x:c r="Y145" s="22" t="n">
        <x:v>12</x:v>
      </x:c>
      <x:c r="Z145" s="22" t="n">
        <x:v>0</x:v>
      </x:c>
      <x:c r="AA145" s="24" t="n">
        <x:f>IFERROR(Y145/X145*100,0)</x:f>
        <x:v>12</x:v>
      </x:c>
      <x:c r="AB145" s="26" t="n">
        <x:v>-39.3</x:v>
      </x:c>
      <x:c r="AC145" s="24" t="n">
        <x:f>IFERROR(Z145/X145*100,0)</x:f>
        <x:v>0</x:v>
      </x:c>
      <x:c r="AD145" s="26" t="n">
        <x:v>-18.3</x:v>
      </x:c>
      <x:c r="AE145" s="22" t="n">
        <x:f>IFERROR(Z145*M145,0)</x:f>
        <x:v>0</x:v>
      </x:c>
      <x:c r="AF145" s="26" t="n">
        <x:v>2.5</x:v>
      </x:c>
      <x:c r="AG145" s="24" t="n">
        <x:v>54.2</x:v>
      </x:c>
      <x:c r="AH145" s="26" t="n">
        <x:v>4.8</x:v>
      </x:c>
      <x:c r="AI145" s="22" t="n">
        <x:v>5</x:v>
      </x:c>
      <x:c r="AJ145" s="22" t="n">
        <x:v>4</x:v>
      </x:c>
      <x:c r="AK145" s="22" t="n">
        <x:v>2</x:v>
      </x:c>
      <x:c r="AL145" s="22" t="n">
        <x:v>1</x:v>
      </x:c>
      <x:c r="AM145" s="22" t="n">
        <x:v>1</x:v>
      </x:c>
      <x:c r="AN145" s="24" t="n">
        <x:f>IFERROR(AI145/X145*100,0)</x:f>
        <x:v>5</x:v>
      </x:c>
      <x:c r="AO145" s="24" t="n">
        <x:f>IFERROR(AJ145/X145*100,0)</x:f>
        <x:v>4</x:v>
      </x:c>
      <x:c r="AP145" s="24" t="n">
        <x:f>IFERROR(AK145/X145*100,0)</x:f>
        <x:v>2</x:v>
      </x:c>
      <x:c r="AQ145" s="24" t="n">
        <x:f>IFERROR(AL145/X145*100,0)</x:f>
        <x:v>1</x:v>
      </x:c>
      <x:c r="AR145" s="24" t="n">
        <x:f>IFERROR(AM145/X145*100,0)</x:f>
        <x:v>1</x:v>
      </x:c>
      <x:c r="AS145" s="24" t="n">
        <x:f>IFERROR(Z145/X145*100,0)</x:f>
        <x:v>0</x:v>
      </x:c>
      <x:c r="AT145" s="26" t="n">
        <x:v>6.8</x:v>
      </x:c>
      <x:c r="AU145" s="26" t="n">
        <x:v>-39.3</x:v>
      </x:c>
      <x:c r="AV145" s="26" t="n">
        <x:v>14.7</x:v>
      </x:c>
      <x:c r="AW145" s="26" t="n">
        <x:v>-5.7</x:v>
      </x:c>
      <x:c r="AX145" s="26" t="n">
        <x:v>-14.6</x:v>
      </x:c>
      <x:c r="AY145" s="26" t="n">
        <x:v>-26.6</x:v>
      </x:c>
      <x:c r="AZ145" s="26" t="n">
        <x:v>-7.9</x:v>
      </x:c>
      <x:c r="BA145" s="26" t="n">
        <x:v>-18.3</x:v>
      </x:c>
      <x:c r="BB145" s="22" t="n">
        <x:f>IFERROR(AE145/Z145,0)</x:f>
        <x:v>0</x:v>
      </x:c>
      <x:c r="BC145" s="17" t="n">
        <x:f>IF(OR(V145="out_of_stock",V145="critical_low_stock"),MAX(0,(14-U145)*T145),0)</x:f>
        <x:v>12.400000000000002</x:v>
      </x:c>
      <x:c r="BD145" s="22" t="n">
        <x:f>IFERROR(BC145*M145,0)</x:f>
        <x:v>217756.40000000002</x:v>
      </x:c>
      <x:c r="BE145" s="17" t="str">
        <x:v>mobile_funnel_behavior</x:v>
      </x:c>
      <x:c r="BF145" s="17" t="str">
        <x:v>inspired_by_uploaded_mobile_funnel_screenshot + copied_product_context</x:v>
      </x:c>
    </x:row>
    <x:row r="146">
      <x:c r="A146" s="17" t="n">
        <x:v>145</x:v>
      </x:c>
      <x:c r="B146" s="17" t="str">
        <x:v>MOBILE_EVENT_FUNNEL</x:v>
      </x:c>
      <x:c r="C146" s="20" t="n">
        <x:v>46146</x:v>
      </x:c>
      <x:c r="D146" s="17" t="str">
        <x:v>Mobile Web</x:v>
      </x:c>
      <x:c r="E146" s="17" t="str">
        <x:v>Mobile</x:v>
      </x:c>
      <x:c r="F146" s="17" t="str">
        <x:v>Price Comparison</x:v>
      </x:c>
      <x:c r="G146" s="17" t="n">
        <x:v>7</x:v>
      </x:c>
      <x:c r="H146" s="17" t="str">
        <x:v>APPLE</x:v>
      </x:c>
      <x:c r="I146" s="17" t="str">
        <x:v>Telefon</x:v>
      </x:c>
      <x:c r="J146" s="17" t="str">
        <x:v>Kulaklıklar</x:v>
      </x:c>
      <x:c r="K146" s="17" t="str">
        <x:v>APPLE EarPods Kablolu Kulak İçi Kulaklık MYQY3TU/A</x:v>
      </x:c>
      <x:c r="L146" s="17" t="str">
        <x:v>1239458</x:v>
      </x:c>
      <x:c r="M146" s="22" t="n">
        <x:v>3752</x:v>
      </x:c>
      <x:c r="N146" s="26" t="n">
        <x:v>11.7</x:v>
      </x:c>
      <x:c r="O146" s="22" t="n">
        <x:v>77</x:v>
      </x:c>
      <x:c r="P146" s="22" t="n">
        <x:v>60</x:v>
      </x:c>
      <x:c r="Q146" s="22" t="n">
        <x:v>0</x:v>
      </x:c>
      <x:c r="R146" s="17" t="n">
        <x:v>5</x:v>
      </x:c>
      <x:c r="S146" s="22" t="n">
        <x:v>8</x:v>
      </x:c>
      <x:c r="T146" s="24" t="n">
        <x:v>0.9</x:v>
      </x:c>
      <x:c r="U146" s="24" t="n">
        <x:f>IFERROR(O146/T146,0)</x:f>
        <x:v>85.55555555555556</x:v>
      </x:c>
      <x:c r="V146" s="17" t="str">
        <x:f>IF(O146&lt;=0,"out_of_stock",IF(U146&lt;7,"critical_low_stock",IF(U146&gt;60,"overstock","in_stock")))</x:f>
        <x:v>overstock</x:v>
      </x:c>
      <x:c r="W146" s="17" t="str">
        <x:f>IF(O146&lt;=0,"OOS",IF(AND(U146&lt;7,AC146&gt;=0.5),"High Risk",IF(U146&lt;14,"Medium Risk",IF(U146&gt;60,"Overstock","Healthy"))))</x:f>
        <x:v>Overstock</x:v>
      </x:c>
      <x:c r="X146" s="22" t="n">
        <x:v>738</x:v>
      </x:c>
      <x:c r="Y146" s="22" t="n">
        <x:v>44</x:v>
      </x:c>
      <x:c r="Z146" s="22" t="n">
        <x:v>1</x:v>
      </x:c>
      <x:c r="AA146" s="24" t="n">
        <x:f>IFERROR(Y146/X146*100,0)</x:f>
        <x:v>5.9620596205962055</x:v>
      </x:c>
      <x:c r="AB146" s="26" t="n">
        <x:v>-8.6</x:v>
      </x:c>
      <x:c r="AC146" s="24" t="n">
        <x:f>IFERROR(Z146/X146*100,0)</x:f>
        <x:v>0.13550135501355012</x:v>
      </x:c>
      <x:c r="AD146" s="26" t="n">
        <x:v>-51.5</x:v>
      </x:c>
      <x:c r="AE146" s="22" t="n">
        <x:f>IFERROR(Z146*M146,0)</x:f>
        <x:v>3752</x:v>
      </x:c>
      <x:c r="AF146" s="26" t="n">
        <x:v>-48.6</x:v>
      </x:c>
      <x:c r="AG146" s="24" t="n">
        <x:v>64.3</x:v>
      </x:c>
      <x:c r="AH146" s="26" t="n">
        <x:v>6.7</x:v>
      </x:c>
      <x:c r="AI146" s="22" t="n">
        <x:v>8</x:v>
      </x:c>
      <x:c r="AJ146" s="22" t="n">
        <x:v>5</x:v>
      </x:c>
      <x:c r="AK146" s="22" t="n">
        <x:v>2</x:v>
      </x:c>
      <x:c r="AL146" s="22" t="n">
        <x:v>2</x:v>
      </x:c>
      <x:c r="AM146" s="22" t="n">
        <x:v>1</x:v>
      </x:c>
      <x:c r="AN146" s="24" t="n">
        <x:f>IFERROR(AI146/X146*100,0)</x:f>
        <x:v>1.084010840108401</x:v>
      </x:c>
      <x:c r="AO146" s="24" t="n">
        <x:f>IFERROR(AJ146/X146*100,0)</x:f>
        <x:v>0.6775067750677507</x:v>
      </x:c>
      <x:c r="AP146" s="24" t="n">
        <x:f>IFERROR(AK146/X146*100,0)</x:f>
        <x:v>0.27100271002710025</x:v>
      </x:c>
      <x:c r="AQ146" s="24" t="n">
        <x:f>IFERROR(AL146/X146*100,0)</x:f>
        <x:v>0.27100271002710025</x:v>
      </x:c>
      <x:c r="AR146" s="24" t="n">
        <x:f>IFERROR(AM146/X146*100,0)</x:f>
        <x:v>0.13550135501355012</x:v>
      </x:c>
      <x:c r="AS146" s="24" t="n">
        <x:f>IFERROR(Z146/X146*100,0)</x:f>
        <x:v>0.13550135501355012</x:v>
      </x:c>
      <x:c r="AT146" s="26" t="n">
        <x:v>19.1</x:v>
      </x:c>
      <x:c r="AU146" s="26" t="n">
        <x:v>-8.6</x:v>
      </x:c>
      <x:c r="AV146" s="26" t="n">
        <x:v>5.5</x:v>
      </x:c>
      <x:c r="AW146" s="26" t="n">
        <x:v>-9.6</x:v>
      </x:c>
      <x:c r="AX146" s="26" t="n">
        <x:v>6.7</x:v>
      </x:c>
      <x:c r="AY146" s="26" t="n">
        <x:v>-29.4</x:v>
      </x:c>
      <x:c r="AZ146" s="26" t="n">
        <x:v>-17.5</x:v>
      </x:c>
      <x:c r="BA146" s="26" t="n">
        <x:v>-51.5</x:v>
      </x:c>
      <x:c r="BB146" s="22" t="n">
        <x:f>IFERROR(AE146/Z146,0)</x:f>
        <x:v>3752</x:v>
      </x:c>
      <x:c r="BC146" s="17" t="n">
        <x:f>IF(OR(V146="out_of_stock",V146="critical_low_stock"),MAX(0,(14-U146)*T146),0)</x:f>
        <x:v>0</x:v>
      </x:c>
      <x:c r="BD146" s="22" t="n">
        <x:f>IFERROR(BC146*M146,0)</x:f>
        <x:v>0</x:v>
      </x:c>
      <x:c r="BE146" s="17" t="str">
        <x:v>mobile_funnel_behavior</x:v>
      </x:c>
      <x:c r="BF146" s="17" t="str">
        <x:v>inspired_by_uploaded_mobile_funnel_screenshot + copied_product_context</x:v>
      </x:c>
    </x:row>
    <x:row r="147">
      <x:c r="A147" s="17" t="n">
        <x:v>146</x:v>
      </x:c>
      <x:c r="B147" s="17" t="str">
        <x:v>MOBILE_EVENT_FUNNEL</x:v>
      </x:c>
      <x:c r="C147" s="20" t="n">
        <x:v>46147</x:v>
      </x:c>
      <x:c r="D147" s="17" t="str">
        <x:v>Mobile Web</x:v>
      </x:c>
      <x:c r="E147" s="17" t="str">
        <x:v>Mobile</x:v>
      </x:c>
      <x:c r="F147" s="17" t="str">
        <x:v>Search Organic Generic</x:v>
      </x:c>
      <x:c r="G147" s="17" t="n">
        <x:v>29</x:v>
      </x:c>
      <x:c r="H147" s="17" t="str">
        <x:v>APPLE</x:v>
      </x:c>
      <x:c r="I147" s="17" t="str">
        <x:v>Telefon</x:v>
      </x:c>
      <x:c r="J147" s="17" t="str">
        <x:v>Telefon Aksesuarları</x:v>
      </x:c>
      <x:c r="K147" s="17" t="str">
        <x:v>APPLE MD3J4TU/A 20W USB-C Güç Adaptörü</x:v>
      </x:c>
      <x:c r="L147" s="17" t="str">
        <x:v>1245474</x:v>
      </x:c>
      <x:c r="M147" s="22" t="n">
        <x:v>2042</x:v>
      </x:c>
      <x:c r="N147" s="26" t="n">
        <x:v>-4.2</x:v>
      </x:c>
      <x:c r="O147" s="22" t="n">
        <x:v>842</x:v>
      </x:c>
      <x:c r="P147" s="22" t="n">
        <x:v>1036</x:v>
      </x:c>
      <x:c r="Q147" s="22" t="n">
        <x:v>0</x:v>
      </x:c>
      <x:c r="R147" s="17" t="n">
        <x:v>21</x:v>
      </x:c>
      <x:c r="S147" s="22" t="n">
        <x:v>34</x:v>
      </x:c>
      <x:c r="T147" s="24" t="n">
        <x:v>1.4</x:v>
      </x:c>
      <x:c r="U147" s="24" t="n">
        <x:f>IFERROR(O147/T147,0)</x:f>
        <x:v>601.4285714285714</x:v>
      </x:c>
      <x:c r="V147" s="17" t="str">
        <x:f>IF(O147&lt;=0,"out_of_stock",IF(U147&lt;7,"critical_low_stock",IF(U147&gt;60,"overstock","in_stock")))</x:f>
        <x:v>overstock</x:v>
      </x:c>
      <x:c r="W147" s="17" t="str">
        <x:f>IF(O147&lt;=0,"OOS",IF(AND(U147&lt;7,AC147&gt;=0.5),"High Risk",IF(U147&lt;14,"Medium Risk",IF(U147&gt;60,"Overstock","Healthy"))))</x:f>
        <x:v>Overstock</x:v>
      </x:c>
      <x:c r="X147" s="22" t="n">
        <x:v>387</x:v>
      </x:c>
      <x:c r="Y147" s="22" t="n">
        <x:v>31</x:v>
      </x:c>
      <x:c r="Z147" s="22" t="n">
        <x:v>4</x:v>
      </x:c>
      <x:c r="AA147" s="24" t="n">
        <x:f>IFERROR(Y147/X147*100,0)</x:f>
        <x:v>8.010335917312661</x:v>
      </x:c>
      <x:c r="AB147" s="26" t="n">
        <x:v>-48.6</x:v>
      </x:c>
      <x:c r="AC147" s="24" t="n">
        <x:f>IFERROR(Z147/X147*100,0)</x:f>
        <x:v>1.03359173126615</x:v>
      </x:c>
      <x:c r="AD147" s="26" t="n">
        <x:v>-26.8</x:v>
      </x:c>
      <x:c r="AE147" s="22" t="n">
        <x:f>IFERROR(Z147*M147,0)</x:f>
        <x:v>8168</x:v>
      </x:c>
      <x:c r="AF147" s="26" t="n">
        <x:v>-27.3</x:v>
      </x:c>
      <x:c r="AG147" s="24" t="n">
        <x:v>69.4</x:v>
      </x:c>
      <x:c r="AH147" s="26" t="n">
        <x:v>-4.2</x:v>
      </x:c>
      <x:c r="AI147" s="22" t="n">
        <x:v>26</x:v>
      </x:c>
      <x:c r="AJ147" s="22" t="n">
        <x:v>14</x:v>
      </x:c>
      <x:c r="AK147" s="22" t="n">
        <x:v>12</x:v>
      </x:c>
      <x:c r="AL147" s="22" t="n">
        <x:v>10</x:v>
      </x:c>
      <x:c r="AM147" s="22" t="n">
        <x:v>5</x:v>
      </x:c>
      <x:c r="AN147" s="24" t="n">
        <x:f>IFERROR(AI147/X147*100,0)</x:f>
        <x:v>6.718346253229974</x:v>
      </x:c>
      <x:c r="AO147" s="24" t="n">
        <x:f>IFERROR(AJ147/X147*100,0)</x:f>
        <x:v>3.6175710594315245</x:v>
      </x:c>
      <x:c r="AP147" s="24" t="n">
        <x:f>IFERROR(AK147/X147*100,0)</x:f>
        <x:v>3.10077519379845</x:v>
      </x:c>
      <x:c r="AQ147" s="24" t="n">
        <x:f>IFERROR(AL147/X147*100,0)</x:f>
        <x:v>2.5839793281653747</x:v>
      </x:c>
      <x:c r="AR147" s="24" t="n">
        <x:f>IFERROR(AM147/X147*100,0)</x:f>
        <x:v>1.2919896640826873</x:v>
      </x:c>
      <x:c r="AS147" s="24" t="n">
        <x:f>IFERROR(Z147/X147*100,0)</x:f>
        <x:v>1.03359173126615</x:v>
      </x:c>
      <x:c r="AT147" s="26" t="n">
        <x:v>21.2</x:v>
      </x:c>
      <x:c r="AU147" s="26" t="n">
        <x:v>-48.6</x:v>
      </x:c>
      <x:c r="AV147" s="26" t="n">
        <x:v>-10.6</x:v>
      </x:c>
      <x:c r="AW147" s="26" t="n">
        <x:v>-40.7</x:v>
      </x:c>
      <x:c r="AX147" s="26" t="n">
        <x:v>2.8</x:v>
      </x:c>
      <x:c r="AY147" s="26" t="n">
        <x:v>-0.6</x:v>
      </x:c>
      <x:c r="AZ147" s="26" t="n">
        <x:v>-11</x:v>
      </x:c>
      <x:c r="BA147" s="26" t="n">
        <x:v>-26.8</x:v>
      </x:c>
      <x:c r="BB147" s="22" t="n">
        <x:f>IFERROR(AE147/Z147,0)</x:f>
        <x:v>2042</x:v>
      </x:c>
      <x:c r="BC147" s="17" t="n">
        <x:f>IF(OR(V147="out_of_stock",V147="critical_low_stock"),MAX(0,(14-U147)*T147),0)</x:f>
        <x:v>0</x:v>
      </x:c>
      <x:c r="BD147" s="22" t="n">
        <x:f>IFERROR(BC147*M147,0)</x:f>
        <x:v>0</x:v>
      </x:c>
      <x:c r="BE147" s="17" t="str">
        <x:v>mobile_funnel_behavior</x:v>
      </x:c>
      <x:c r="BF147" s="17" t="str">
        <x:v>inspired_by_uploaded_mobile_funnel_screenshot + copied_product_context</x:v>
      </x:c>
    </x:row>
    <x:row r="148">
      <x:c r="A148" s="17" t="n">
        <x:v>147</x:v>
      </x:c>
      <x:c r="B148" s="17" t="str">
        <x:v>MOBILE_EVENT_FUNNEL</x:v>
      </x:c>
      <x:c r="C148" s="20" t="n">
        <x:v>46148</x:v>
      </x:c>
      <x:c r="D148" s="17" t="str">
        <x:v>Mobile Web</x:v>
      </x:c>
      <x:c r="E148" s="17" t="str">
        <x:v>Mobile</x:v>
      </x:c>
      <x:c r="F148" s="17" t="str">
        <x:v>Direct</x:v>
      </x:c>
      <x:c r="G148" s="17" t="n">
        <x:v>99</x:v>
      </x:c>
      <x:c r="H148" s="17" t="str">
        <x:v>XIAOMI</x:v>
      </x:c>
      <x:c r="I148" s="17" t="str">
        <x:v>Other</x:v>
      </x:c>
      <x:c r="J148" s="17" t="str">
        <x:v>Other</x:v>
      </x:c>
      <x:c r="K148" s="17" t="str">
        <x:v>XIAOMI Smart Air Purifier 4 Compact Akıllı Hava Temizleyici Beyaz</x:v>
      </x:c>
      <x:c r="L148" s="17" t="str">
        <x:v>1225157</x:v>
      </x:c>
      <x:c r="M148" s="22" t="n">
        <x:v>8096</x:v>
      </x:c>
      <x:c r="N148" s="26" t="n">
        <x:v>4.6</x:v>
      </x:c>
      <x:c r="O148" s="22" t="n">
        <x:v>14</x:v>
      </x:c>
      <x:c r="P148" s="22" t="n">
        <x:v>2</x:v>
      </x:c>
      <x:c r="Q148" s="22" t="n">
        <x:v>41</x:v>
      </x:c>
      <x:c r="R148" s="17" t="n">
        <x:v>21</x:v>
      </x:c>
      <x:c r="S148" s="22" t="n">
        <x:v>24</x:v>
      </x:c>
      <x:c r="T148" s="24" t="n">
        <x:v>1</x:v>
      </x:c>
      <x:c r="U148" s="24" t="n">
        <x:f>IFERROR(O148/T148,0)</x:f>
        <x:v>14</x:v>
      </x:c>
      <x:c r="V148" s="17" t="str">
        <x:f>IF(O148&lt;=0,"out_of_stock",IF(U148&lt;7,"critical_low_stock",IF(U148&gt;60,"overstock","in_stock")))</x:f>
        <x:v>in_stock</x:v>
      </x:c>
      <x:c r="W148" s="17" t="str">
        <x:f>IF(O148&lt;=0,"OOS",IF(AND(U148&lt;7,AC148&gt;=0.5),"High Risk",IF(U148&lt;14,"Medium Risk",IF(U148&gt;60,"Overstock","Healthy"))))</x:f>
        <x:v>Healthy</x:v>
      </x:c>
      <x:c r="X148" s="22" t="n">
        <x:v>174</x:v>
      </x:c>
      <x:c r="Y148" s="22" t="n">
        <x:v>15</x:v>
      </x:c>
      <x:c r="Z148" s="22" t="n">
        <x:v>1</x:v>
      </x:c>
      <x:c r="AA148" s="24" t="n">
        <x:f>IFERROR(Y148/X148*100,0)</x:f>
        <x:v>8.620689655172415</x:v>
      </x:c>
      <x:c r="AB148" s="26" t="n">
        <x:v>-13.3</x:v>
      </x:c>
      <x:c r="AC148" s="24" t="n">
        <x:f>IFERROR(Z148/X148*100,0)</x:f>
        <x:v>0.5747126436781609</x:v>
      </x:c>
      <x:c r="AD148" s="26" t="n">
        <x:v>-15.4</x:v>
      </x:c>
      <x:c r="AE148" s="22" t="n">
        <x:f>IFERROR(Z148*M148,0)</x:f>
        <x:v>8096</x:v>
      </x:c>
      <x:c r="AF148" s="26" t="n">
        <x:v>-10.1</x:v>
      </x:c>
      <x:c r="AG148" s="24" t="n">
        <x:v>49.7</x:v>
      </x:c>
      <x:c r="AH148" s="26" t="n">
        <x:v>2.8</x:v>
      </x:c>
      <x:c r="AI148" s="22" t="n">
        <x:v>8</x:v>
      </x:c>
      <x:c r="AJ148" s="22" t="n">
        <x:v>5</x:v>
      </x:c>
      <x:c r="AK148" s="22" t="n">
        <x:v>4</x:v>
      </x:c>
      <x:c r="AL148" s="22" t="n">
        <x:v>3</x:v>
      </x:c>
      <x:c r="AM148" s="22" t="n">
        <x:v>2</x:v>
      </x:c>
      <x:c r="AN148" s="24" t="n">
        <x:f>IFERROR(AI148/X148*100,0)</x:f>
        <x:v>4.597701149425287</x:v>
      </x:c>
      <x:c r="AO148" s="24" t="n">
        <x:f>IFERROR(AJ148/X148*100,0)</x:f>
        <x:v>2.8735632183908044</x:v>
      </x:c>
      <x:c r="AP148" s="24" t="n">
        <x:f>IFERROR(AK148/X148*100,0)</x:f>
        <x:v>2.2988505747126435</x:v>
      </x:c>
      <x:c r="AQ148" s="24" t="n">
        <x:f>IFERROR(AL148/X148*100,0)</x:f>
        <x:v>1.7241379310344827</x:v>
      </x:c>
      <x:c r="AR148" s="24" t="n">
        <x:f>IFERROR(AM148/X148*100,0)</x:f>
        <x:v>1.1494252873563218</x:v>
      </x:c>
      <x:c r="AS148" s="24" t="n">
        <x:f>IFERROR(Z148/X148*100,0)</x:f>
        <x:v>0.5747126436781609</x:v>
      </x:c>
      <x:c r="AT148" s="26" t="n">
        <x:v>17.5</x:v>
      </x:c>
      <x:c r="AU148" s="26" t="n">
        <x:v>-13.3</x:v>
      </x:c>
      <x:c r="AV148" s="26" t="n">
        <x:v>-21.9</x:v>
      </x:c>
      <x:c r="AW148" s="26" t="n">
        <x:v>-106</x:v>
      </x:c>
      <x:c r="AX148" s="26" t="n">
        <x:v>20.6</x:v>
      </x:c>
      <x:c r="AY148" s="26" t="n">
        <x:v>-22.5</x:v>
      </x:c>
      <x:c r="AZ148" s="26" t="n">
        <x:v>-6.1</x:v>
      </x:c>
      <x:c r="BA148" s="26" t="n">
        <x:v>-15.4</x:v>
      </x:c>
      <x:c r="BB148" s="22" t="n">
        <x:f>IFERROR(AE148/Z148,0)</x:f>
        <x:v>8096</x:v>
      </x:c>
      <x:c r="BC148" s="17" t="n">
        <x:f>IF(OR(V148="out_of_stock",V148="critical_low_stock"),MAX(0,(14-U148)*T148),0)</x:f>
        <x:v>0</x:v>
      </x:c>
      <x:c r="BD148" s="22" t="n">
        <x:f>IFERROR(BC148*M148,0)</x:f>
        <x:v>0</x:v>
      </x:c>
      <x:c r="BE148" s="17" t="str">
        <x:v>mobile_funnel_behavior</x:v>
      </x:c>
      <x:c r="BF148" s="17" t="str">
        <x:v>inspired_by_uploaded_mobile_funnel_screenshot + copied_product_context</x:v>
      </x:c>
    </x:row>
    <x:row r="149">
      <x:c r="A149" s="17" t="n">
        <x:v>148</x:v>
      </x:c>
      <x:c r="B149" s="17" t="str">
        <x:v>MOBILE_EVENT_FUNNEL</x:v>
      </x:c>
      <x:c r="C149" s="20" t="n">
        <x:v>46149</x:v>
      </x:c>
      <x:c r="D149" s="17" t="str">
        <x:v>Mobile Web</x:v>
      </x:c>
      <x:c r="E149" s="17" t="str">
        <x:v>Mobile</x:v>
      </x:c>
      <x:c r="F149" s="17" t="str">
        <x:v>CRM</x:v>
      </x:c>
      <x:c r="G149" s="17" t="n">
        <x:v>34</x:v>
      </x:c>
      <x:c r="H149" s="17" t="str">
        <x:v>ECOVACS</x:v>
      </x:c>
      <x:c r="I149" s="17" t="str">
        <x:v>Ev Aletleri &amp; Yaşam</x:v>
      </x:c>
      <x:c r="J149" s="17" t="str">
        <x:v>Süpürgeler</x:v>
      </x:c>
      <x:c r="K149" s="17" t="str">
        <x:v>ECOVACS T80S Omni Robot Süpürge + Mop Siyah</x:v>
      </x:c>
      <x:c r="L149" s="17" t="str">
        <x:v>1252217</x:v>
      </x:c>
      <x:c r="M149" s="22" t="n">
        <x:v>28333</x:v>
      </x:c>
      <x:c r="N149" s="26" t="n">
        <x:v>-19.1</x:v>
      </x:c>
      <x:c r="O149" s="22" t="n">
        <x:v>30</x:v>
      </x:c>
      <x:c r="P149" s="22" t="n">
        <x:v>6</x:v>
      </x:c>
      <x:c r="Q149" s="22" t="n">
        <x:v>0</x:v>
      </x:c>
      <x:c r="R149" s="17" t="n">
        <x:v>10</x:v>
      </x:c>
      <x:c r="S149" s="22" t="n">
        <x:v>20</x:v>
      </x:c>
      <x:c r="T149" s="24" t="n">
        <x:v>1.5</x:v>
      </x:c>
      <x:c r="U149" s="24" t="n">
        <x:f>IFERROR(O149/T149,0)</x:f>
        <x:v>20</x:v>
      </x:c>
      <x:c r="V149" s="17" t="str">
        <x:f>IF(O149&lt;=0,"out_of_stock",IF(U149&lt;7,"critical_low_stock",IF(U149&gt;60,"overstock","in_stock")))</x:f>
        <x:v>in_stock</x:v>
      </x:c>
      <x:c r="W149" s="17" t="str">
        <x:f>IF(O149&lt;=0,"OOS",IF(AND(U149&lt;7,AC149&gt;=0.5),"High Risk",IF(U149&lt;14,"Medium Risk",IF(U149&gt;60,"Overstock","Healthy"))))</x:f>
        <x:v>Healthy</x:v>
      </x:c>
      <x:c r="X149" s="22" t="n">
        <x:v>319</x:v>
      </x:c>
      <x:c r="Y149" s="22" t="n">
        <x:v>7</x:v>
      </x:c>
      <x:c r="Z149" s="22" t="n">
        <x:v>1</x:v>
      </x:c>
      <x:c r="AA149" s="24" t="n">
        <x:f>IFERROR(Y149/X149*100,0)</x:f>
        <x:v>2.19435736677116</x:v>
      </x:c>
      <x:c r="AB149" s="26" t="n">
        <x:v>-82.3</x:v>
      </x:c>
      <x:c r="AC149" s="24" t="n">
        <x:f>IFERROR(Z149/X149*100,0)</x:f>
        <x:v>0.3134796238244514</x:v>
      </x:c>
      <x:c r="AD149" s="26" t="n">
        <x:v>-41.8</x:v>
      </x:c>
      <x:c r="AE149" s="22" t="n">
        <x:f>IFERROR(Z149*M149,0)</x:f>
        <x:v>28333</x:v>
      </x:c>
      <x:c r="AF149" s="26" t="n">
        <x:v>-51.4</x:v>
      </x:c>
      <x:c r="AG149" s="24" t="n">
        <x:v>67.2</x:v>
      </x:c>
      <x:c r="AH149" s="26" t="n">
        <x:v>15.3</x:v>
      </x:c>
      <x:c r="AI149" s="22" t="n">
        <x:v>4</x:v>
      </x:c>
      <x:c r="AJ149" s="22" t="n">
        <x:v>2</x:v>
      </x:c>
      <x:c r="AK149" s="22" t="n">
        <x:v>1</x:v>
      </x:c>
      <x:c r="AL149" s="22" t="n">
        <x:v>1</x:v>
      </x:c>
      <x:c r="AM149" s="22" t="n">
        <x:v>1</x:v>
      </x:c>
      <x:c r="AN149" s="24" t="n">
        <x:f>IFERROR(AI149/X149*100,0)</x:f>
        <x:v>1.2539184952978055</x:v>
      </x:c>
      <x:c r="AO149" s="24" t="n">
        <x:f>IFERROR(AJ149/X149*100,0)</x:f>
        <x:v>0.6269592476489028</x:v>
      </x:c>
      <x:c r="AP149" s="24" t="n">
        <x:f>IFERROR(AK149/X149*100,0)</x:f>
        <x:v>0.3134796238244514</x:v>
      </x:c>
      <x:c r="AQ149" s="24" t="n">
        <x:f>IFERROR(AL149/X149*100,0)</x:f>
        <x:v>0.3134796238244514</x:v>
      </x:c>
      <x:c r="AR149" s="24" t="n">
        <x:f>IFERROR(AM149/X149*100,0)</x:f>
        <x:v>0.3134796238244514</x:v>
      </x:c>
      <x:c r="AS149" s="24" t="n">
        <x:f>IFERROR(Z149/X149*100,0)</x:f>
        <x:v>0.3134796238244514</x:v>
      </x:c>
      <x:c r="AT149" s="26" t="n">
        <x:v>33</x:v>
      </x:c>
      <x:c r="AU149" s="26" t="n">
        <x:v>-82.3</x:v>
      </x:c>
      <x:c r="AV149" s="26" t="n">
        <x:v>-30.5</x:v>
      </x:c>
      <x:c r="AW149" s="26" t="n">
        <x:v>-0.7</x:v>
      </x:c>
      <x:c r="AX149" s="26" t="n">
        <x:v>-2.7</x:v>
      </x:c>
      <x:c r="AY149" s="26" t="n">
        <x:v>-19.7</x:v>
      </x:c>
      <x:c r="AZ149" s="26" t="n">
        <x:v>-11.4</x:v>
      </x:c>
      <x:c r="BA149" s="26" t="n">
        <x:v>-41.8</x:v>
      </x:c>
      <x:c r="BB149" s="22" t="n">
        <x:f>IFERROR(AE149/Z149,0)</x:f>
        <x:v>28333</x:v>
      </x:c>
      <x:c r="BC149" s="17" t="n">
        <x:f>IF(OR(V149="out_of_stock",V149="critical_low_stock"),MAX(0,(14-U149)*T149),0)</x:f>
        <x:v>0</x:v>
      </x:c>
      <x:c r="BD149" s="22" t="n">
        <x:f>IFERROR(BC149*M149,0)</x:f>
        <x:v>0</x:v>
      </x:c>
      <x:c r="BE149" s="17" t="str">
        <x:v>mobile_funnel_behavior</x:v>
      </x:c>
      <x:c r="BF149" s="17" t="str">
        <x:v>inspired_by_uploaded_mobile_funnel_screenshot + copied_product_context</x:v>
      </x:c>
    </x:row>
    <x:row r="150">
      <x:c r="A150" s="17" t="n">
        <x:v>149</x:v>
      </x:c>
      <x:c r="B150" s="17" t="str">
        <x:v>MOBILE_EVENT_FUNNEL</x:v>
      </x:c>
      <x:c r="C150" s="20" t="n">
        <x:v>46150</x:v>
      </x:c>
      <x:c r="D150" s="17" t="str">
        <x:v>Mobile Web</x:v>
      </x:c>
      <x:c r="E150" s="17" t="str">
        <x:v>Mobile</x:v>
      </x:c>
      <x:c r="F150" s="17" t="str">
        <x:v>Search Organic Generic</x:v>
      </x:c>
      <x:c r="G150" s="17" t="n">
        <x:v>26</x:v>
      </x:c>
      <x:c r="H150" s="17" t="str">
        <x:v>LOGITECH</x:v>
      </x:c>
      <x:c r="I150" s="17" t="str">
        <x:v>Bilgisayar</x:v>
      </x:c>
      <x:c r="J150" s="17" t="str">
        <x:v>Oyuncu Aksesuarları</x:v>
      </x:c>
      <x:c r="K150" s="17" t="str">
        <x:v>LOGITECH G Pro X Superlight 2 Oyuncu Mouse Siyah</x:v>
      </x:c>
      <x:c r="L150" s="17" t="str">
        <x:v>SYN9002</x:v>
      </x:c>
      <x:c r="M150" s="22" t="n">
        <x:v>4821</x:v>
      </x:c>
      <x:c r="N150" s="26" t="n">
        <x:v>12.5</x:v>
      </x:c>
      <x:c r="O150" s="22" t="n">
        <x:v>0</x:v>
      </x:c>
      <x:c r="P150" s="22" t="n">
        <x:v>0</x:v>
      </x:c>
      <x:c r="Q150" s="22" t="n">
        <x:v>32</x:v>
      </x:c>
      <x:c r="R150" s="17" t="n">
        <x:v>5</x:v>
      </x:c>
      <x:c r="S150" s="22" t="n">
        <x:v>16</x:v>
      </x:c>
      <x:c r="T150" s="24" t="n">
        <x:v>2</x:v>
      </x:c>
      <x:c r="U150" s="24" t="n">
        <x:f>IFERROR(O150/T150,0)</x:f>
        <x:v>0</x:v>
      </x:c>
      <x:c r="V150" s="17" t="str">
        <x:f>IF(O150&lt;=0,"out_of_stock",IF(U150&lt;7,"critical_low_stock",IF(U150&gt;60,"overstock","in_stock")))</x:f>
        <x:v>out_of_stock</x:v>
      </x:c>
      <x:c r="W150" s="17" t="str">
        <x:f>IF(O150&lt;=0,"OOS",IF(AND(U150&lt;7,AC150&gt;=0.5),"High Risk",IF(U150&lt;14,"Medium Risk",IF(U150&gt;60,"Overstock","Healthy"))))</x:f>
        <x:v>OOS</x:v>
      </x:c>
      <x:c r="X150" s="22" t="n">
        <x:v>1057</x:v>
      </x:c>
      <x:c r="Y150" s="22" t="n">
        <x:v>59</x:v>
      </x:c>
      <x:c r="Z150" s="22" t="n">
        <x:v>5</x:v>
      </x:c>
      <x:c r="AA150" s="24" t="n">
        <x:f>IFERROR(Y150/X150*100,0)</x:f>
        <x:v>5.581835383159887</x:v>
      </x:c>
      <x:c r="AB150" s="26" t="n">
        <x:v>-44.9</x:v>
      </x:c>
      <x:c r="AC150" s="24" t="n">
        <x:f>IFERROR(Z150/X150*100,0)</x:f>
        <x:v>0.47303689687795647</x:v>
      </x:c>
      <x:c r="AD150" s="26" t="n">
        <x:v>-28</x:v>
      </x:c>
      <x:c r="AE150" s="22" t="n">
        <x:f>IFERROR(Z150*M150,0)</x:f>
        <x:v>24105</x:v>
      </x:c>
      <x:c r="AF150" s="26" t="n">
        <x:v>-18.3</x:v>
      </x:c>
      <x:c r="AG150" s="24" t="n">
        <x:v>49.1</x:v>
      </x:c>
      <x:c r="AH150" s="26" t="n">
        <x:v>12.3</x:v>
      </x:c>
      <x:c r="AI150" s="22" t="n">
        <x:v>34</x:v>
      </x:c>
      <x:c r="AJ150" s="22" t="n">
        <x:v>21</x:v>
      </x:c>
      <x:c r="AK150" s="22" t="n">
        <x:v>11</x:v>
      </x:c>
      <x:c r="AL150" s="22" t="n">
        <x:v>8</x:v>
      </x:c>
      <x:c r="AM150" s="22" t="n">
        <x:v>7</x:v>
      </x:c>
      <x:c r="AN150" s="24" t="n">
        <x:f>IFERROR(AI150/X150*100,0)</x:f>
        <x:v>3.216650898770104</x:v>
      </x:c>
      <x:c r="AO150" s="24" t="n">
        <x:f>IFERROR(AJ150/X150*100,0)</x:f>
        <x:v>1.9867549668874174</x:v>
      </x:c>
      <x:c r="AP150" s="24" t="n">
        <x:f>IFERROR(AK150/X150*100,0)</x:f>
        <x:v>1.0406811731315044</x:v>
      </x:c>
      <x:c r="AQ150" s="24" t="n">
        <x:f>IFERROR(AL150/X150*100,0)</x:f>
        <x:v>0.7568590350047304</x:v>
      </x:c>
      <x:c r="AR150" s="24" t="n">
        <x:f>IFERROR(AM150/X150*100,0)</x:f>
        <x:v>0.6622516556291391</x:v>
      </x:c>
      <x:c r="AS150" s="24" t="n">
        <x:f>IFERROR(Z150/X150*100,0)</x:f>
        <x:v>0.47303689687795647</x:v>
      </x:c>
      <x:c r="AT150" s="26" t="n">
        <x:v>-13.6</x:v>
      </x:c>
      <x:c r="AU150" s="26" t="n">
        <x:v>-44.9</x:v>
      </x:c>
      <x:c r="AV150" s="26" t="n">
        <x:v>-1.5</x:v>
      </x:c>
      <x:c r="AW150" s="26" t="n">
        <x:v>19.3</x:v>
      </x:c>
      <x:c r="AX150" s="26" t="n">
        <x:v>1.9</x:v>
      </x:c>
      <x:c r="AY150" s="26" t="n">
        <x:v>-6.1</x:v>
      </x:c>
      <x:c r="AZ150" s="26" t="n">
        <x:v>-12.3</x:v>
      </x:c>
      <x:c r="BA150" s="26" t="n">
        <x:v>-28</x:v>
      </x:c>
      <x:c r="BB150" s="22" t="n">
        <x:f>IFERROR(AE150/Z150,0)</x:f>
        <x:v>4821</x:v>
      </x:c>
      <x:c r="BC150" s="17" t="n">
        <x:f>IF(OR(V150="out_of_stock",V150="critical_low_stock"),MAX(0,(14-U150)*T150),0)</x:f>
        <x:v>28</x:v>
      </x:c>
      <x:c r="BD150" s="22" t="n">
        <x:f>IFERROR(BC150*M150,0)</x:f>
        <x:v>134988</x:v>
      </x:c>
      <x:c r="BE150" s="17" t="str">
        <x:v>mobile_funnel_behavior</x:v>
      </x:c>
      <x:c r="BF150" s="17" t="str">
        <x:v>inspired_by_uploaded_mobile_funnel_screenshot + copied_product_context</x:v>
      </x:c>
    </x:row>
    <x:row r="151">
      <x:c r="A151" s="17" t="n">
        <x:v>150</x:v>
      </x:c>
      <x:c r="B151" s="17" t="str">
        <x:v>MOBILE_EVENT_FUNNEL</x:v>
      </x:c>
      <x:c r="C151" s="20" t="n">
        <x:v>46151</x:v>
      </x:c>
      <x:c r="D151" s="17" t="str">
        <x:v>Mobile Web</x:v>
      </x:c>
      <x:c r="E151" s="17" t="str">
        <x:v>Mobile</x:v>
      </x:c>
      <x:c r="F151" s="17" t="str">
        <x:v>Price Comparison</x:v>
      </x:c>
      <x:c r="G151" s="17" t="n">
        <x:v>34</x:v>
      </x:c>
      <x:c r="H151" s="17" t="str">
        <x:v>DYSON</x:v>
      </x:c>
      <x:c r="I151" s="17" t="str">
        <x:v>Ev Aletleri &amp; Yaşam</x:v>
      </x:c>
      <x:c r="J151" s="17" t="str">
        <x:v>Süpürgeler</x:v>
      </x:c>
      <x:c r="K151" s="17" t="str">
        <x:v>DYSON V12 Detect Slim Absolute Kablosuz Şarjlı Dikey Süpürge Sarı Nikel</x:v>
      </x:c>
      <x:c r="L151" s="17" t="str">
        <x:v>1232519</x:v>
      </x:c>
      <x:c r="M151" s="22" t="n">
        <x:v>37274</x:v>
      </x:c>
      <x:c r="N151" s="26" t="n">
        <x:v>10.1</x:v>
      </x:c>
      <x:c r="O151" s="22" t="n">
        <x:v>0</x:v>
      </x:c>
      <x:c r="P151" s="22" t="n">
        <x:v>0</x:v>
      </x:c>
      <x:c r="Q151" s="22" t="n">
        <x:v>30</x:v>
      </x:c>
      <x:c r="R151" s="17" t="n">
        <x:v>7</x:v>
      </x:c>
      <x:c r="S151" s="22" t="n">
        <x:v>13</x:v>
      </x:c>
      <x:c r="T151" s="24" t="n">
        <x:v>1.3</x:v>
      </x:c>
      <x:c r="U151" s="24" t="n">
        <x:f>IFERROR(O151/T151,0)</x:f>
        <x:v>0</x:v>
      </x:c>
      <x:c r="V151" s="17" t="str">
        <x:f>IF(O151&lt;=0,"out_of_stock",IF(U151&lt;7,"critical_low_stock",IF(U151&gt;60,"overstock","in_stock")))</x:f>
        <x:v>out_of_stock</x:v>
      </x:c>
      <x:c r="W151" s="17" t="str">
        <x:f>IF(O151&lt;=0,"OOS",IF(AND(U151&lt;7,AC151&gt;=0.5),"High Risk",IF(U151&lt;14,"Medium Risk",IF(U151&gt;60,"Overstock","Healthy"))))</x:f>
        <x:v>OOS</x:v>
      </x:c>
      <x:c r="X151" s="22" t="n">
        <x:v>511</x:v>
      </x:c>
      <x:c r="Y151" s="22" t="n">
        <x:v>38</x:v>
      </x:c>
      <x:c r="Z151" s="22" t="n">
        <x:v>4</x:v>
      </x:c>
      <x:c r="AA151" s="24" t="n">
        <x:f>IFERROR(Y151/X151*100,0)</x:f>
        <x:v>7.436399217221135</x:v>
      </x:c>
      <x:c r="AB151" s="26" t="n">
        <x:v>-15.9</x:v>
      </x:c>
      <x:c r="AC151" s="24" t="n">
        <x:f>IFERROR(Z151/X151*100,0)</x:f>
        <x:v>0.7827788649706457</x:v>
      </x:c>
      <x:c r="AD151" s="26" t="n">
        <x:v>-66.1</x:v>
      </x:c>
      <x:c r="AE151" s="22" t="n">
        <x:f>IFERROR(Z151*M151,0)</x:f>
        <x:v>149096</x:v>
      </x:c>
      <x:c r="AF151" s="26" t="n">
        <x:v>-60.6</x:v>
      </x:c>
      <x:c r="AG151" s="24" t="n">
        <x:v>61.2</x:v>
      </x:c>
      <x:c r="AH151" s="26" t="n">
        <x:v>9.9</x:v>
      </x:c>
      <x:c r="AI151" s="22" t="n">
        <x:v>22</x:v>
      </x:c>
      <x:c r="AJ151" s="22" t="n">
        <x:v>17</x:v>
      </x:c>
      <x:c r="AK151" s="22" t="n">
        <x:v>13</x:v>
      </x:c>
      <x:c r="AL151" s="22" t="n">
        <x:v>10</x:v>
      </x:c>
      <x:c r="AM151" s="22" t="n">
        <x:v>7</x:v>
      </x:c>
      <x:c r="AN151" s="24" t="n">
        <x:f>IFERROR(AI151/X151*100,0)</x:f>
        <x:v>4.305283757338552</x:v>
      </x:c>
      <x:c r="AO151" s="24" t="n">
        <x:f>IFERROR(AJ151/X151*100,0)</x:f>
        <x:v>3.326810176125244</x:v>
      </x:c>
      <x:c r="AP151" s="24" t="n">
        <x:f>IFERROR(AK151/X151*100,0)</x:f>
        <x:v>2.5440313111545985</x:v>
      </x:c>
      <x:c r="AQ151" s="24" t="n">
        <x:f>IFERROR(AL151/X151*100,0)</x:f>
        <x:v>1.9569471624266144</x:v>
      </x:c>
      <x:c r="AR151" s="24" t="n">
        <x:f>IFERROR(AM151/X151*100,0)</x:f>
        <x:v>1.36986301369863</x:v>
      </x:c>
      <x:c r="AS151" s="24" t="n">
        <x:f>IFERROR(Z151/X151*100,0)</x:f>
        <x:v>0.7827788649706457</x:v>
      </x:c>
      <x:c r="AT151" s="26" t="n">
        <x:v>2.4</x:v>
      </x:c>
      <x:c r="AU151" s="26" t="n">
        <x:v>-15.9</x:v>
      </x:c>
      <x:c r="AV151" s="26" t="n">
        <x:v>-8</x:v>
      </x:c>
      <x:c r="AW151" s="26" t="n">
        <x:v>-1.6</x:v>
      </x:c>
      <x:c r="AX151" s="26" t="n">
        <x:v>34.6</x:v>
      </x:c>
      <x:c r="AY151" s="26" t="n">
        <x:v>-19.8</x:v>
      </x:c>
      <x:c r="AZ151" s="26" t="n">
        <x:v>-34.3</x:v>
      </x:c>
      <x:c r="BA151" s="26" t="n">
        <x:v>-66.1</x:v>
      </x:c>
      <x:c r="BB151" s="22" t="n">
        <x:f>IFERROR(AE151/Z151,0)</x:f>
        <x:v>37274</x:v>
      </x:c>
      <x:c r="BC151" s="17" t="n">
        <x:f>IF(OR(V151="out_of_stock",V151="critical_low_stock"),MAX(0,(14-U151)*T151),0)</x:f>
        <x:v>18.2</x:v>
      </x:c>
      <x:c r="BD151" s="22" t="n">
        <x:f>IFERROR(BC151*M151,0)</x:f>
        <x:v>678386.7999999999</x:v>
      </x:c>
      <x:c r="BE151" s="17" t="str">
        <x:v>mobile_funnel_behavior</x:v>
      </x:c>
      <x:c r="BF151" s="17" t="str">
        <x:v>inspired_by_uploaded_mobile_funnel_screenshot + copied_product_context</x:v>
      </x:c>
    </x:row>
    <x:row r="152">
      <x:c r="A152" s="17" t="n">
        <x:v>151</x:v>
      </x:c>
      <x:c r="B152" s="17" t="str">
        <x:v>MOBILE_EVENT_FUNNEL</x:v>
      </x:c>
      <x:c r="C152" s="20" t="n">
        <x:v>46152</x:v>
      </x:c>
      <x:c r="D152" s="17" t="str">
        <x:v>Mobile Web</x:v>
      </x:c>
      <x:c r="E152" s="17" t="str">
        <x:v>Mobile</x:v>
      </x:c>
      <x:c r="F152" s="17" t="str">
        <x:v>Affiliate</x:v>
      </x:c>
      <x:c r="G152" s="17" t="n">
        <x:v>21</x:v>
      </x:c>
      <x:c r="H152" s="17" t="str">
        <x:v>DJI</x:v>
      </x:c>
      <x:c r="I152" s="17" t="str">
        <x:v>Foto &amp; Kamera &amp; Drone</x:v>
      </x:c>
      <x:c r="J152" s="17" t="str">
        <x:v>Drone</x:v>
      </x:c>
      <x:c r="K152" s="17" t="str">
        <x:v>DJI Osmo Action 5 Pro Adventure Combo</x:v>
      </x:c>
      <x:c r="L152" s="17" t="str">
        <x:v>1240427</x:v>
      </x:c>
      <x:c r="M152" s="22" t="n">
        <x:v>11922</x:v>
      </x:c>
      <x:c r="N152" s="26" t="n">
        <x:v>14.3</x:v>
      </x:c>
      <x:c r="O152" s="22" t="n">
        <x:v>11</x:v>
      </x:c>
      <x:c r="P152" s="22" t="n">
        <x:v>16</x:v>
      </x:c>
      <x:c r="Q152" s="22" t="n">
        <x:v>79</x:v>
      </x:c>
      <x:c r="R152" s="17" t="n">
        <x:v>21</x:v>
      </x:c>
      <x:c r="S152" s="22" t="n">
        <x:v>34</x:v>
      </x:c>
      <x:c r="T152" s="24" t="n">
        <x:v>1.4</x:v>
      </x:c>
      <x:c r="U152" s="24" t="n">
        <x:f>IFERROR(O152/T152,0)</x:f>
        <x:v>7.857142857142858</x:v>
      </x:c>
      <x:c r="V152" s="17" t="str">
        <x:f>IF(O152&lt;=0,"out_of_stock",IF(U152&lt;7,"critical_low_stock",IF(U152&gt;60,"overstock","in_stock")))</x:f>
        <x:v>in_stock</x:v>
      </x:c>
      <x:c r="W152" s="17" t="str">
        <x:f>IF(O152&lt;=0,"OOS",IF(AND(U152&lt;7,AC152&gt;=0.5),"High Risk",IF(U152&lt;14,"Medium Risk",IF(U152&gt;60,"Overstock","Healthy"))))</x:f>
        <x:v>Medium Risk</x:v>
      </x:c>
      <x:c r="X152" s="22" t="n">
        <x:v>112</x:v>
      </x:c>
      <x:c r="Y152" s="22" t="n">
        <x:v>12</x:v>
      </x:c>
      <x:c r="Z152" s="22" t="n">
        <x:v>1</x:v>
      </x:c>
      <x:c r="AA152" s="24" t="n">
        <x:f>IFERROR(Y152/X152*100,0)</x:f>
        <x:v>10.714285714285714</x:v>
      </x:c>
      <x:c r="AB152" s="26" t="n">
        <x:v>-19.2</x:v>
      </x:c>
      <x:c r="AC152" s="24" t="n">
        <x:f>IFERROR(Z152/X152*100,0)</x:f>
        <x:v>0.8928571428571428</x:v>
      </x:c>
      <x:c r="AD152" s="26" t="n">
        <x:v>-30.3</x:v>
      </x:c>
      <x:c r="AE152" s="22" t="n">
        <x:f>IFERROR(Z152*M152,0)</x:f>
        <x:v>11922</x:v>
      </x:c>
      <x:c r="AF152" s="26" t="n">
        <x:v>-9.2</x:v>
      </x:c>
      <x:c r="AG152" s="24" t="n">
        <x:v>64.8</x:v>
      </x:c>
      <x:c r="AH152" s="26" t="n">
        <x:v>3.9</x:v>
      </x:c>
      <x:c r="AI152" s="22" t="n">
        <x:v>9</x:v>
      </x:c>
      <x:c r="AJ152" s="22" t="n">
        <x:v>3</x:v>
      </x:c>
      <x:c r="AK152" s="22" t="n">
        <x:v>3</x:v>
      </x:c>
      <x:c r="AL152" s="22" t="n">
        <x:v>3</x:v>
      </x:c>
      <x:c r="AM152" s="22" t="n">
        <x:v>2</x:v>
      </x:c>
      <x:c r="AN152" s="24" t="n">
        <x:f>IFERROR(AI152/X152*100,0)</x:f>
        <x:v>8.035714285714286</x:v>
      </x:c>
      <x:c r="AO152" s="24" t="n">
        <x:f>IFERROR(AJ152/X152*100,0)</x:f>
        <x:v>2.6785714285714284</x:v>
      </x:c>
      <x:c r="AP152" s="24" t="n">
        <x:f>IFERROR(AK152/X152*100,0)</x:f>
        <x:v>2.6785714285714284</x:v>
      </x:c>
      <x:c r="AQ152" s="24" t="n">
        <x:f>IFERROR(AL152/X152*100,0)</x:f>
        <x:v>2.6785714285714284</x:v>
      </x:c>
      <x:c r="AR152" s="24" t="n">
        <x:f>IFERROR(AM152/X152*100,0)</x:f>
        <x:v>1.7857142857142856</x:v>
      </x:c>
      <x:c r="AS152" s="24" t="n">
        <x:f>IFERROR(Z152/X152*100,0)</x:f>
        <x:v>0.8928571428571428</x:v>
      </x:c>
      <x:c r="AT152" s="26" t="n">
        <x:v>8.1</x:v>
      </x:c>
      <x:c r="AU152" s="26" t="n">
        <x:v>-19.2</x:v>
      </x:c>
      <x:c r="AV152" s="26" t="n">
        <x:v>-59.7</x:v>
      </x:c>
      <x:c r="AW152" s="26" t="n">
        <x:v>-40.4</x:v>
      </x:c>
      <x:c r="AX152" s="26" t="n">
        <x:v>-1.9</x:v>
      </x:c>
      <x:c r="AY152" s="26" t="n">
        <x:v>-13.1</x:v>
      </x:c>
      <x:c r="AZ152" s="26" t="n">
        <x:v>28.9</x:v>
      </x:c>
      <x:c r="BA152" s="26" t="n">
        <x:v>-30.3</x:v>
      </x:c>
      <x:c r="BB152" s="22" t="n">
        <x:f>IFERROR(AE152/Z152,0)</x:f>
        <x:v>11922</x:v>
      </x:c>
      <x:c r="BC152" s="17" t="n">
        <x:f>IF(OR(V152="out_of_stock",V152="critical_low_stock"),MAX(0,(14-U152)*T152),0)</x:f>
        <x:v>0</x:v>
      </x:c>
      <x:c r="BD152" s="22" t="n">
        <x:f>IFERROR(BC152*M152,0)</x:f>
        <x:v>0</x:v>
      </x:c>
      <x:c r="BE152" s="17" t="str">
        <x:v>mobile_funnel_behavior</x:v>
      </x:c>
      <x:c r="BF152" s="17" t="str">
        <x:v>inspired_by_uploaded_mobile_funnel_screenshot + copied_product_context</x:v>
      </x:c>
    </x:row>
    <x:row r="153">
      <x:c r="A153" s="17" t="n">
        <x:v>152</x:v>
      </x:c>
      <x:c r="B153" s="17" t="str">
        <x:v>MOBILE_EVENT_FUNNEL</x:v>
      </x:c>
      <x:c r="C153" s="20" t="n">
        <x:v>46153</x:v>
      </x:c>
      <x:c r="D153" s="17" t="str">
        <x:v>Mobile Web</x:v>
      </x:c>
      <x:c r="E153" s="17" t="str">
        <x:v>Mobile</x:v>
      </x:c>
      <x:c r="F153" s="17" t="str">
        <x:v>Price Comparison</x:v>
      </x:c>
      <x:c r="G153" s="17" t="n">
        <x:v>28</x:v>
      </x:c>
      <x:c r="H153" s="17" t="str">
        <x:v>SAMSUNG</x:v>
      </x:c>
      <x:c r="I153" s="17" t="str">
        <x:v>Telefon</x:v>
      </x:c>
      <x:c r="J153" s="17" t="str">
        <x:v>Cep Telefonları</x:v>
      </x:c>
      <x:c r="K153" s="17" t="str">
        <x:v>SAMSUNG Galaxy A56 5G 8/256GB Akıllı Telefon Antrasit</x:v>
      </x:c>
      <x:c r="L153" s="17" t="str">
        <x:v>1245807</x:v>
      </x:c>
      <x:c r="M153" s="22" t="n">
        <x:v>63152</x:v>
      </x:c>
      <x:c r="N153" s="26" t="n">
        <x:v>-13.3</x:v>
      </x:c>
      <x:c r="O153" s="22" t="n">
        <x:v>64</x:v>
      </x:c>
      <x:c r="P153" s="22" t="n">
        <x:v>26</x:v>
      </x:c>
      <x:c r="Q153" s="22" t="n">
        <x:v>0</x:v>
      </x:c>
      <x:c r="R153" s="17" t="n">
        <x:v>14</x:v>
      </x:c>
      <x:c r="S153" s="22" t="n">
        <x:v>28</x:v>
      </x:c>
      <x:c r="T153" s="24" t="n">
        <x:v>1.6</x:v>
      </x:c>
      <x:c r="U153" s="24" t="n">
        <x:f>IFERROR(O153/T153,0)</x:f>
        <x:v>40</x:v>
      </x:c>
      <x:c r="V153" s="17" t="str">
        <x:f>IF(O153&lt;=0,"out_of_stock",IF(U153&lt;7,"critical_low_stock",IF(U153&gt;60,"overstock","in_stock")))</x:f>
        <x:v>in_stock</x:v>
      </x:c>
      <x:c r="W153" s="17" t="str">
        <x:f>IF(O153&lt;=0,"OOS",IF(AND(U153&lt;7,AC153&gt;=0.5),"High Risk",IF(U153&lt;14,"Medium Risk",IF(U153&gt;60,"Overstock","Healthy"))))</x:f>
        <x:v>Healthy</x:v>
      </x:c>
      <x:c r="X153" s="22" t="n">
        <x:v>433</x:v>
      </x:c>
      <x:c r="Y153" s="22" t="n">
        <x:v>25</x:v>
      </x:c>
      <x:c r="Z153" s="22" t="n">
        <x:v>1</x:v>
      </x:c>
      <x:c r="AA153" s="24" t="n">
        <x:f>IFERROR(Y153/X153*100,0)</x:f>
        <x:v>5.773672055427252</x:v>
      </x:c>
      <x:c r="AB153" s="26" t="n">
        <x:v>-82.3</x:v>
      </x:c>
      <x:c r="AC153" s="24" t="n">
        <x:f>IFERROR(Z153/X153*100,0)</x:f>
        <x:v>0.23094688221709006</x:v>
      </x:c>
      <x:c r="AD153" s="26" t="n">
        <x:v>-115.9</x:v>
      </x:c>
      <x:c r="AE153" s="22" t="n">
        <x:f>IFERROR(Z153*M153,0)</x:f>
        <x:v>63152</x:v>
      </x:c>
      <x:c r="AF153" s="26" t="n">
        <x:v>-95</x:v>
      </x:c>
      <x:c r="AG153" s="24" t="n">
        <x:v>61.8</x:v>
      </x:c>
      <x:c r="AH153" s="26" t="n">
        <x:v>15.4</x:v>
      </x:c>
      <x:c r="AI153" s="22" t="n">
        <x:v>18</x:v>
      </x:c>
      <x:c r="AJ153" s="22" t="n">
        <x:v>10</x:v>
      </x:c>
      <x:c r="AK153" s="22" t="n">
        <x:v>6</x:v>
      </x:c>
      <x:c r="AL153" s="22" t="n">
        <x:v>4</x:v>
      </x:c>
      <x:c r="AM153" s="22" t="n">
        <x:v>2</x:v>
      </x:c>
      <x:c r="AN153" s="24" t="n">
        <x:f>IFERROR(AI153/X153*100,0)</x:f>
        <x:v>4.157043879907621</x:v>
      </x:c>
      <x:c r="AO153" s="24" t="n">
        <x:f>IFERROR(AJ153/X153*100,0)</x:f>
        <x:v>2.3094688221709005</x:v>
      </x:c>
      <x:c r="AP153" s="24" t="n">
        <x:f>IFERROR(AK153/X153*100,0)</x:f>
        <x:v>1.3856812933025404</x:v>
      </x:c>
      <x:c r="AQ153" s="24" t="n">
        <x:f>IFERROR(AL153/X153*100,0)</x:f>
        <x:v>0.9237875288683602</x:v>
      </x:c>
      <x:c r="AR153" s="24" t="n">
        <x:f>IFERROR(AM153/X153*100,0)</x:f>
        <x:v>0.4618937644341801</x:v>
      </x:c>
      <x:c r="AS153" s="24" t="n">
        <x:f>IFERROR(Z153/X153*100,0)</x:f>
        <x:v>0.23094688221709006</x:v>
      </x:c>
      <x:c r="AT153" s="26" t="n">
        <x:v>14.8</x:v>
      </x:c>
      <x:c r="AU153" s="26" t="n">
        <x:v>-82.3</x:v>
      </x:c>
      <x:c r="AV153" s="26" t="n">
        <x:v>-54.7</x:v>
      </x:c>
      <x:c r="AW153" s="26" t="n">
        <x:v>-60.9</x:v>
      </x:c>
      <x:c r="AX153" s="26" t="n">
        <x:v>-12.1</x:v>
      </x:c>
      <x:c r="AY153" s="26" t="n">
        <x:v>-38.1</x:v>
      </x:c>
      <x:c r="AZ153" s="26" t="n">
        <x:v>-52.9</x:v>
      </x:c>
      <x:c r="BA153" s="26" t="n">
        <x:v>-115.9</x:v>
      </x:c>
      <x:c r="BB153" s="22" t="n">
        <x:f>IFERROR(AE153/Z153,0)</x:f>
        <x:v>63152</x:v>
      </x:c>
      <x:c r="BC153" s="17" t="n">
        <x:f>IF(OR(V153="out_of_stock",V153="critical_low_stock"),MAX(0,(14-U153)*T153),0)</x:f>
        <x:v>0</x:v>
      </x:c>
      <x:c r="BD153" s="22" t="n">
        <x:f>IFERROR(BC153*M153,0)</x:f>
        <x:v>0</x:v>
      </x:c>
      <x:c r="BE153" s="17" t="str">
        <x:v>mobile_funnel_behavior</x:v>
      </x:c>
      <x:c r="BF153" s="17" t="str">
        <x:v>inspired_by_uploaded_mobile_funnel_screenshot + copied_product_context</x:v>
      </x:c>
    </x:row>
    <x:row r="154">
      <x:c r="A154" s="17" t="n">
        <x:v>153</x:v>
      </x:c>
      <x:c r="B154" s="17" t="str">
        <x:v>MOBILE_EVENT_FUNNEL</x:v>
      </x:c>
      <x:c r="C154" s="20" t="n">
        <x:v>46154</x:v>
      </x:c>
      <x:c r="D154" s="17" t="str">
        <x:v>Mobile Web</x:v>
      </x:c>
      <x:c r="E154" s="17" t="str">
        <x:v>Mobile</x:v>
      </x:c>
      <x:c r="F154" s="17" t="str">
        <x:v>Search Paid Generic</x:v>
      </x:c>
      <x:c r="G154" s="17" t="n">
        <x:v>99</x:v>
      </x:c>
      <x:c r="H154" s="17" t="str">
        <x:v>ONVO</x:v>
      </x:c>
      <x:c r="I154" s="17" t="str">
        <x:v>Other</x:v>
      </x:c>
      <x:c r="J154" s="17" t="str">
        <x:v>Other</x:v>
      </x:c>
      <x:c r="K154" s="17" t="str">
        <x:v>ONVO OV-012 800 W 45 Km Menzil Elektikli Scooter Siyah</x:v>
      </x:c>
      <x:c r="L154" s="17" t="str">
        <x:v>1220523</x:v>
      </x:c>
      <x:c r="M154" s="22" t="n">
        <x:v>5823</x:v>
      </x:c>
      <x:c r="N154" s="26" t="n">
        <x:v>-12</x:v>
      </x:c>
      <x:c r="O154" s="22" t="n">
        <x:v>148</x:v>
      </x:c>
      <x:c r="P154" s="22" t="n">
        <x:v>124</x:v>
      </x:c>
      <x:c r="Q154" s="22" t="n">
        <x:v>0</x:v>
      </x:c>
      <x:c r="R154" s="17" t="n">
        <x:v>5</x:v>
      </x:c>
      <x:c r="S154" s="22" t="n">
        <x:v>12</x:v>
      </x:c>
      <x:c r="T154" s="24" t="n">
        <x:v>1.5</x:v>
      </x:c>
      <x:c r="U154" s="24" t="n">
        <x:f>IFERROR(O154/T154,0)</x:f>
        <x:v>98.66666666666667</x:v>
      </x:c>
      <x:c r="V154" s="17" t="str">
        <x:f>IF(O154&lt;=0,"out_of_stock",IF(U154&lt;7,"critical_low_stock",IF(U154&gt;60,"overstock","in_stock")))</x:f>
        <x:v>overstock</x:v>
      </x:c>
      <x:c r="W154" s="17" t="str">
        <x:f>IF(O154&lt;=0,"OOS",IF(AND(U154&lt;7,AC154&gt;=0.5),"High Risk",IF(U154&lt;14,"Medium Risk",IF(U154&gt;60,"Overstock","Healthy"))))</x:f>
        <x:v>Overstock</x:v>
      </x:c>
      <x:c r="X154" s="22" t="n">
        <x:v>426</x:v>
      </x:c>
      <x:c r="Y154" s="22" t="n">
        <x:v>14</x:v>
      </x:c>
      <x:c r="Z154" s="22" t="n">
        <x:v>1</x:v>
      </x:c>
      <x:c r="AA154" s="24" t="n">
        <x:f>IFERROR(Y154/X154*100,0)</x:f>
        <x:v>3.286384976525822</x:v>
      </x:c>
      <x:c r="AB154" s="26" t="n">
        <x:v>-29.7</x:v>
      </x:c>
      <x:c r="AC154" s="24" t="n">
        <x:f>IFERROR(Z154/X154*100,0)</x:f>
        <x:v>0.2347417840375587</x:v>
      </x:c>
      <x:c r="AD154" s="26" t="n">
        <x:v>11.3</x:v>
      </x:c>
      <x:c r="AE154" s="22" t="n">
        <x:f>IFERROR(Z154*M154,0)</x:f>
        <x:v>5823</x:v>
      </x:c>
      <x:c r="AF154" s="26" t="n">
        <x:v>-4</x:v>
      </x:c>
      <x:c r="AG154" s="24" t="n">
        <x:v>64.4</x:v>
      </x:c>
      <x:c r="AH154" s="26" t="n">
        <x:v>14.8</x:v>
      </x:c>
      <x:c r="AI154" s="22" t="n">
        <x:v>10</x:v>
      </x:c>
      <x:c r="AJ154" s="22" t="n">
        <x:v>6</x:v>
      </x:c>
      <x:c r="AK154" s="22" t="n">
        <x:v>3</x:v>
      </x:c>
      <x:c r="AL154" s="22" t="n">
        <x:v>3</x:v>
      </x:c>
      <x:c r="AM154" s="22" t="n">
        <x:v>2</x:v>
      </x:c>
      <x:c r="AN154" s="24" t="n">
        <x:f>IFERROR(AI154/X154*100,0)</x:f>
        <x:v>2.3474178403755865</x:v>
      </x:c>
      <x:c r="AO154" s="24" t="n">
        <x:f>IFERROR(AJ154/X154*100,0)</x:f>
        <x:v>1.4084507042253522</x:v>
      </x:c>
      <x:c r="AP154" s="24" t="n">
        <x:f>IFERROR(AK154/X154*100,0)</x:f>
        <x:v>0.7042253521126761</x:v>
      </x:c>
      <x:c r="AQ154" s="24" t="n">
        <x:f>IFERROR(AL154/X154*100,0)</x:f>
        <x:v>0.7042253521126761</x:v>
      </x:c>
      <x:c r="AR154" s="24" t="n">
        <x:f>IFERROR(AM154/X154*100,0)</x:f>
        <x:v>0.4694835680751174</x:v>
      </x:c>
      <x:c r="AS154" s="24" t="n">
        <x:f>IFERROR(Z154/X154*100,0)</x:f>
        <x:v>0.2347417840375587</x:v>
      </x:c>
      <x:c r="AT154" s="26" t="n">
        <x:v>8.5</x:v>
      </x:c>
      <x:c r="AU154" s="26" t="n">
        <x:v>-29.7</x:v>
      </x:c>
      <x:c r="AV154" s="26" t="n">
        <x:v>-11.6</x:v>
      </x:c>
      <x:c r="AW154" s="26" t="n">
        <x:v>-18.3</x:v>
      </x:c>
      <x:c r="AX154" s="26" t="n">
        <x:v>10.9</x:v>
      </x:c>
      <x:c r="AY154" s="26" t="n">
        <x:v>-40.5</x:v>
      </x:c>
      <x:c r="AZ154" s="26" t="n">
        <x:v>-6.9</x:v>
      </x:c>
      <x:c r="BA154" s="26" t="n">
        <x:v>11.3</x:v>
      </x:c>
      <x:c r="BB154" s="22" t="n">
        <x:f>IFERROR(AE154/Z154,0)</x:f>
        <x:v>5823</x:v>
      </x:c>
      <x:c r="BC154" s="17" t="n">
        <x:f>IF(OR(V154="out_of_stock",V154="critical_low_stock"),MAX(0,(14-U154)*T154),0)</x:f>
        <x:v>0</x:v>
      </x:c>
      <x:c r="BD154" s="22" t="n">
        <x:f>IFERROR(BC154*M154,0)</x:f>
        <x:v>0</x:v>
      </x:c>
      <x:c r="BE154" s="17" t="str">
        <x:v>mobile_funnel_behavior</x:v>
      </x:c>
      <x:c r="BF154" s="17" t="str">
        <x:v>inspired_by_uploaded_mobile_funnel_screenshot + copied_product_context</x:v>
      </x:c>
    </x:row>
    <x:row r="155">
      <x:c r="A155" s="17" t="n">
        <x:v>154</x:v>
      </x:c>
      <x:c r="B155" s="17" t="str">
        <x:v>MOBILE_EVENT_FUNNEL</x:v>
      </x:c>
      <x:c r="C155" s="20" t="n">
        <x:v>46155</x:v>
      </x:c>
      <x:c r="D155" s="17" t="str">
        <x:v>Mobile Web</x:v>
      </x:c>
      <x:c r="E155" s="17" t="str">
        <x:v>Mobile</x:v>
      </x:c>
      <x:c r="F155" s="17" t="str">
        <x:v>CRM</x:v>
      </x:c>
      <x:c r="G155" s="17" t="n">
        <x:v>21</x:v>
      </x:c>
      <x:c r="H155" s="17" t="str">
        <x:v>DJI</x:v>
      </x:c>
      <x:c r="I155" s="17" t="str">
        <x:v>Foto &amp; Kamera &amp; Drone</x:v>
      </x:c>
      <x:c r="J155" s="17" t="str">
        <x:v>Drone</x:v>
      </x:c>
      <x:c r="K155" s="17" t="str">
        <x:v>DJI Osmo Pocket 4 Creator Combo Gimbal</x:v>
      </x:c>
      <x:c r="L155" s="17" t="str">
        <x:v>1254263</x:v>
      </x:c>
      <x:c r="M155" s="22" t="n">
        <x:v>17238</x:v>
      </x:c>
      <x:c r="N155" s="26" t="n">
        <x:v>13.7</x:v>
      </x:c>
      <x:c r="O155" s="22" t="n">
        <x:v>139</x:v>
      </x:c>
      <x:c r="P155" s="22" t="n">
        <x:v>34</x:v>
      </x:c>
      <x:c r="Q155" s="22" t="n">
        <x:v>0</x:v>
      </x:c>
      <x:c r="R155" s="17" t="n">
        <x:v>5</x:v>
      </x:c>
      <x:c r="S155" s="22" t="n">
        <x:v>9</x:v>
      </x:c>
      <x:c r="T155" s="24" t="n">
        <x:v>1.1</x:v>
      </x:c>
      <x:c r="U155" s="24" t="n">
        <x:f>IFERROR(O155/T155,0)</x:f>
        <x:v>126.36363636363636</x:v>
      </x:c>
      <x:c r="V155" s="17" t="str">
        <x:f>IF(O155&lt;=0,"out_of_stock",IF(U155&lt;7,"critical_low_stock",IF(U155&gt;60,"overstock","in_stock")))</x:f>
        <x:v>overstock</x:v>
      </x:c>
      <x:c r="W155" s="17" t="str">
        <x:f>IF(O155&lt;=0,"OOS",IF(AND(U155&lt;7,AC155&gt;=0.5),"High Risk",IF(U155&lt;14,"Medium Risk",IF(U155&gt;60,"Overstock","Healthy"))))</x:f>
        <x:v>Overstock</x:v>
      </x:c>
      <x:c r="X155" s="22" t="n">
        <x:v>699</x:v>
      </x:c>
      <x:c r="Y155" s="22" t="n">
        <x:v>70</x:v>
      </x:c>
      <x:c r="Z155" s="22" t="n">
        <x:v>1</x:v>
      </x:c>
      <x:c r="AA155" s="24" t="n">
        <x:f>IFERROR(Y155/X155*100,0)</x:f>
        <x:v>10.014306151645208</x:v>
      </x:c>
      <x:c r="AB155" s="26" t="n">
        <x:v>-25.8</x:v>
      </x:c>
      <x:c r="AC155" s="24" t="n">
        <x:f>IFERROR(Z155/X155*100,0)</x:f>
        <x:v>0.14306151645207438</x:v>
      </x:c>
      <x:c r="AD155" s="26" t="n">
        <x:v>-9</x:v>
      </x:c>
      <x:c r="AE155" s="22" t="n">
        <x:f>IFERROR(Z155*M155,0)</x:f>
        <x:v>17238</x:v>
      </x:c>
      <x:c r="AF155" s="26" t="n">
        <x:v>12.8</x:v>
      </x:c>
      <x:c r="AG155" s="24" t="n">
        <x:v>52.5</x:v>
      </x:c>
      <x:c r="AH155" s="26" t="n">
        <x:v>14.6</x:v>
      </x:c>
      <x:c r="AI155" s="22" t="n">
        <x:v>36</x:v>
      </x:c>
      <x:c r="AJ155" s="22" t="n">
        <x:v>5</x:v>
      </x:c>
      <x:c r="AK155" s="22" t="n">
        <x:v>3</x:v>
      </x:c>
      <x:c r="AL155" s="22" t="n">
        <x:v>2</x:v>
      </x:c>
      <x:c r="AM155" s="22" t="n">
        <x:v>2</x:v>
      </x:c>
      <x:c r="AN155" s="24" t="n">
        <x:f>IFERROR(AI155/X155*100,0)</x:f>
        <x:v>5.150214592274678</x:v>
      </x:c>
      <x:c r="AO155" s="24" t="n">
        <x:f>IFERROR(AJ155/X155*100,0)</x:f>
        <x:v>0.7153075822603719</x:v>
      </x:c>
      <x:c r="AP155" s="24" t="n">
        <x:f>IFERROR(AK155/X155*100,0)</x:f>
        <x:v>0.4291845493562232</x:v>
      </x:c>
      <x:c r="AQ155" s="24" t="n">
        <x:f>IFERROR(AL155/X155*100,0)</x:f>
        <x:v>0.28612303290414876</x:v>
      </x:c>
      <x:c r="AR155" s="24" t="n">
        <x:f>IFERROR(AM155/X155*100,0)</x:f>
        <x:v>0.28612303290414876</x:v>
      </x:c>
      <x:c r="AS155" s="24" t="n">
        <x:f>IFERROR(Z155/X155*100,0)</x:f>
        <x:v>0.14306151645207438</x:v>
      </x:c>
      <x:c r="AT155" s="26" t="n">
        <x:v>-3.7</x:v>
      </x:c>
      <x:c r="AU155" s="26" t="n">
        <x:v>-25.8</x:v>
      </x:c>
      <x:c r="AV155" s="26" t="n">
        <x:v>21.3</x:v>
      </x:c>
      <x:c r="AW155" s="26" t="n">
        <x:v>-15.4</x:v>
      </x:c>
      <x:c r="AX155" s="26" t="n">
        <x:v>7.8</x:v>
      </x:c>
      <x:c r="AY155" s="26" t="n">
        <x:v>-2.9</x:v>
      </x:c>
      <x:c r="AZ155" s="26" t="n">
        <x:v>-37.7</x:v>
      </x:c>
      <x:c r="BA155" s="26" t="n">
        <x:v>-9</x:v>
      </x:c>
      <x:c r="BB155" s="22" t="n">
        <x:f>IFERROR(AE155/Z155,0)</x:f>
        <x:v>17238</x:v>
      </x:c>
      <x:c r="BC155" s="17" t="n">
        <x:f>IF(OR(V155="out_of_stock",V155="critical_low_stock"),MAX(0,(14-U155)*T155),0)</x:f>
        <x:v>0</x:v>
      </x:c>
      <x:c r="BD155" s="22" t="n">
        <x:f>IFERROR(BC155*M155,0)</x:f>
        <x:v>0</x:v>
      </x:c>
      <x:c r="BE155" s="17" t="str">
        <x:v>mobile_funnel_behavior</x:v>
      </x:c>
      <x:c r="BF155" s="17" t="str">
        <x:v>inspired_by_uploaded_mobile_funnel_screenshot + copied_product_context</x:v>
      </x:c>
    </x:row>
    <x:row r="156">
      <x:c r="A156" s="17" t="n">
        <x:v>155</x:v>
      </x:c>
      <x:c r="B156" s="17" t="str">
        <x:v>MOBILE_EVENT_FUNNEL</x:v>
      </x:c>
      <x:c r="C156" s="20" t="n">
        <x:v>46156</x:v>
      </x:c>
      <x:c r="D156" s="17" t="str">
        <x:v>Mobile Web</x:v>
      </x:c>
      <x:c r="E156" s="17" t="str">
        <x:v>Mobile</x:v>
      </x:c>
      <x:c r="F156" s="17" t="str">
        <x:v>Affiliate</x:v>
      </x:c>
      <x:c r="G156" s="17" t="n">
        <x:v>28</x:v>
      </x:c>
      <x:c r="H156" s="17" t="str">
        <x:v>APPLE</x:v>
      </x:c>
      <x:c r="I156" s="17" t="str">
        <x:v>Telefon</x:v>
      </x:c>
      <x:c r="J156" s="17" t="str">
        <x:v>Cep Telefonları</x:v>
      </x:c>
      <x:c r="K156" s="17" t="str">
        <x:v>APPLE iPhone 17 256 GB Akıllı Telefon Lavanta MG6M4TU/A</x:v>
      </x:c>
      <x:c r="L156" s="17" t="str">
        <x:v>1249224</x:v>
      </x:c>
      <x:c r="M156" s="22" t="n">
        <x:v>68457</x:v>
      </x:c>
      <x:c r="N156" s="26" t="n">
        <x:v>-7.7</x:v>
      </x:c>
      <x:c r="O156" s="22" t="n">
        <x:v>4</x:v>
      </x:c>
      <x:c r="P156" s="22" t="n">
        <x:v>5</x:v>
      </x:c>
      <x:c r="Q156" s="22" t="n">
        <x:v>0</x:v>
      </x:c>
      <x:c r="R156" s="17" t="n">
        <x:v>10</x:v>
      </x:c>
      <x:c r="S156" s="22" t="n">
        <x:v>25</x:v>
      </x:c>
      <x:c r="T156" s="24" t="n">
        <x:v>1.9</x:v>
      </x:c>
      <x:c r="U156" s="24" t="n">
        <x:f>IFERROR(O156/T156,0)</x:f>
        <x:v>2.1052631578947367</x:v>
      </x:c>
      <x:c r="V156" s="17" t="str">
        <x:f>IF(O156&lt;=0,"out_of_stock",IF(U156&lt;7,"critical_low_stock",IF(U156&gt;60,"overstock","in_stock")))</x:f>
        <x:v>critical_low_stock</x:v>
      </x:c>
      <x:c r="W156" s="17" t="str">
        <x:f>IF(O156&lt;=0,"OOS",IF(AND(U156&lt;7,AC156&gt;=0.5),"High Risk",IF(U156&lt;14,"Medium Risk",IF(U156&gt;60,"Overstock","Healthy"))))</x:f>
        <x:v>High Risk</x:v>
      </x:c>
      <x:c r="X156" s="22" t="n">
        <x:v>957</x:v>
      </x:c>
      <x:c r="Y156" s="22" t="n">
        <x:v>94</x:v>
      </x:c>
      <x:c r="Z156" s="22" t="n">
        <x:v>5</x:v>
      </x:c>
      <x:c r="AA156" s="24" t="n">
        <x:f>IFERROR(Y156/X156*100,0)</x:f>
        <x:v>9.822361546499478</x:v>
      </x:c>
      <x:c r="AB156" s="26" t="n">
        <x:v>-29.3</x:v>
      </x:c>
      <x:c r="AC156" s="24" t="n">
        <x:f>IFERROR(Z156/X156*100,0)</x:f>
        <x:v>0.522466039707419</x:v>
      </x:c>
      <x:c r="AD156" s="26" t="n">
        <x:v>-102.9</x:v>
      </x:c>
      <x:c r="AE156" s="22" t="n">
        <x:f>IFERROR(Z156*M156,0)</x:f>
        <x:v>342285</x:v>
      </x:c>
      <x:c r="AF156" s="26" t="n">
        <x:v>-95</x:v>
      </x:c>
      <x:c r="AG156" s="24" t="n">
        <x:v>62.3</x:v>
      </x:c>
      <x:c r="AH156" s="26" t="n">
        <x:v>-4.6</x:v>
      </x:c>
      <x:c r="AI156" s="22" t="n">
        <x:v>73</x:v>
      </x:c>
      <x:c r="AJ156" s="22" t="n">
        <x:v>40</x:v>
      </x:c>
      <x:c r="AK156" s="22" t="n">
        <x:v>30</x:v>
      </x:c>
      <x:c r="AL156" s="22" t="n">
        <x:v>21</x:v>
      </x:c>
      <x:c r="AM156" s="22" t="n">
        <x:v>15</x:v>
      </x:c>
      <x:c r="AN156" s="24" t="n">
        <x:f>IFERROR(AI156/X156*100,0)</x:f>
        <x:v>7.628004179728317</x:v>
      </x:c>
      <x:c r="AO156" s="24" t="n">
        <x:f>IFERROR(AJ156/X156*100,0)</x:f>
        <x:v>4.179728317659352</x:v>
      </x:c>
      <x:c r="AP156" s="24" t="n">
        <x:f>IFERROR(AK156/X156*100,0)</x:f>
        <x:v>3.1347962382445136</x:v>
      </x:c>
      <x:c r="AQ156" s="24" t="n">
        <x:f>IFERROR(AL156/X156*100,0)</x:f>
        <x:v>2.19435736677116</x:v>
      </x:c>
      <x:c r="AR156" s="24" t="n">
        <x:f>IFERROR(AM156/X156*100,0)</x:f>
        <x:v>1.5673981191222568</x:v>
      </x:c>
      <x:c r="AS156" s="24" t="n">
        <x:f>IFERROR(Z156/X156*100,0)</x:f>
        <x:v>0.522466039707419</x:v>
      </x:c>
      <x:c r="AT156" s="26" t="n">
        <x:v>-8.9</x:v>
      </x:c>
      <x:c r="AU156" s="26" t="n">
        <x:v>-29.3</x:v>
      </x:c>
      <x:c r="AV156" s="26" t="n">
        <x:v>-50.7</x:v>
      </x:c>
      <x:c r="AW156" s="26" t="n">
        <x:v>-20.3</x:v>
      </x:c>
      <x:c r="AX156" s="26" t="n">
        <x:v>22.2</x:v>
      </x:c>
      <x:c r="AY156" s="26" t="n">
        <x:v>-11.3</x:v>
      </x:c>
      <x:c r="AZ156" s="26" t="n">
        <x:v>-23.3</x:v>
      </x:c>
      <x:c r="BA156" s="26" t="n">
        <x:v>-102.9</x:v>
      </x:c>
      <x:c r="BB156" s="22" t="n">
        <x:f>IFERROR(AE156/Z156,0)</x:f>
        <x:v>68457</x:v>
      </x:c>
      <x:c r="BC156" s="17" t="n">
        <x:f>IF(OR(V156="out_of_stock",V156="critical_low_stock"),MAX(0,(14-U156)*T156),0)</x:f>
        <x:v>22.6</x:v>
      </x:c>
      <x:c r="BD156" s="22" t="n">
        <x:f>IFERROR(BC156*M156,0)</x:f>
        <x:v>1547128.2000000002</x:v>
      </x:c>
      <x:c r="BE156" s="17" t="str">
        <x:v>mobile_funnel_behavior</x:v>
      </x:c>
      <x:c r="BF156" s="17" t="str">
        <x:v>inspired_by_uploaded_mobile_funnel_screenshot + copied_product_context</x:v>
      </x:c>
    </x:row>
    <x:row r="157">
      <x:c r="A157" s="17" t="n">
        <x:v>156</x:v>
      </x:c>
      <x:c r="B157" s="17" t="str">
        <x:v>MOBILE_EVENT_FUNNEL</x:v>
      </x:c>
      <x:c r="C157" s="20" t="n">
        <x:v>46143</x:v>
      </x:c>
      <x:c r="D157" s="17" t="str">
        <x:v>Mobile Web</x:v>
      </x:c>
      <x:c r="E157" s="17" t="str">
        <x:v>Mobile</x:v>
      </x:c>
      <x:c r="F157" s="17" t="str">
        <x:v>Search Organic Generic</x:v>
      </x:c>
      <x:c r="G157" s="17" t="n">
        <x:v>28</x:v>
      </x:c>
      <x:c r="H157" s="17" t="str">
        <x:v>APPLE</x:v>
      </x:c>
      <x:c r="I157" s="17" t="str">
        <x:v>Telefon</x:v>
      </x:c>
      <x:c r="J157" s="17" t="str">
        <x:v>Cep Telefonları</x:v>
      </x:c>
      <x:c r="K157" s="17" t="str">
        <x:v>APPLE iPhone 16 Pro Max 256 GB Akıllı Telefon Siyah Titanium MYWV3TU/A</x:v>
      </x:c>
      <x:c r="L157" s="17" t="str">
        <x:v>1239587</x:v>
      </x:c>
      <x:c r="M157" s="22" t="n">
        <x:v>94547</x:v>
      </x:c>
      <x:c r="N157" s="26" t="n">
        <x:v>13.8</x:v>
      </x:c>
      <x:c r="O157" s="22" t="n">
        <x:v>17</x:v>
      </x:c>
      <x:c r="P157" s="22" t="n">
        <x:v>24</x:v>
      </x:c>
      <x:c r="Q157" s="22" t="n">
        <x:v>0</x:v>
      </x:c>
      <x:c r="R157" s="17" t="n">
        <x:v>10</x:v>
      </x:c>
      <x:c r="S157" s="22" t="n">
        <x:v>4</x:v>
      </x:c>
      <x:c r="T157" s="24" t="n">
        <x:v>0.3</x:v>
      </x:c>
      <x:c r="U157" s="24" t="n">
        <x:f>IFERROR(O157/T157,0)</x:f>
        <x:v>56.66666666666667</x:v>
      </x:c>
      <x:c r="V157" s="17" t="str">
        <x:f>IF(O157&lt;=0,"out_of_stock",IF(U157&lt;7,"critical_low_stock",IF(U157&gt;60,"overstock","in_stock")))</x:f>
        <x:v>in_stock</x:v>
      </x:c>
      <x:c r="W157" s="17" t="str">
        <x:f>IF(O157&lt;=0,"OOS",IF(AND(U157&lt;7,AC157&gt;=0.5),"High Risk",IF(U157&lt;14,"Medium Risk",IF(U157&gt;60,"Overstock","Healthy"))))</x:f>
        <x:v>Healthy</x:v>
      </x:c>
      <x:c r="X157" s="22" t="n">
        <x:v>280</x:v>
      </x:c>
      <x:c r="Y157" s="22" t="n">
        <x:v>9</x:v>
      </x:c>
      <x:c r="Z157" s="22" t="n">
        <x:v>1</x:v>
      </x:c>
      <x:c r="AA157" s="24" t="n">
        <x:f>IFERROR(Y157/X157*100,0)</x:f>
        <x:v>3.214285714285714</x:v>
      </x:c>
      <x:c r="AB157" s="26" t="n">
        <x:v>-60.1</x:v>
      </x:c>
      <x:c r="AC157" s="24" t="n">
        <x:f>IFERROR(Z157/X157*100,0)</x:f>
        <x:v>0.35714285714285715</x:v>
      </x:c>
      <x:c r="AD157" s="26" t="n">
        <x:v>-51.5</x:v>
      </x:c>
      <x:c r="AE157" s="22" t="n">
        <x:f>IFERROR(Z157*M157,0)</x:f>
        <x:v>94547</x:v>
      </x:c>
      <x:c r="AF157" s="26" t="n">
        <x:v>-39.6</x:v>
      </x:c>
      <x:c r="AG157" s="24" t="n">
        <x:v>60.5</x:v>
      </x:c>
      <x:c r="AH157" s="26" t="n">
        <x:v>7.5</x:v>
      </x:c>
      <x:c r="AI157" s="22" t="n">
        <x:v>7</x:v>
      </x:c>
      <x:c r="AJ157" s="22" t="n">
        <x:v>3</x:v>
      </x:c>
      <x:c r="AK157" s="22" t="n">
        <x:v>3</x:v>
      </x:c>
      <x:c r="AL157" s="22" t="n">
        <x:v>2</x:v>
      </x:c>
      <x:c r="AM157" s="22" t="n">
        <x:v>1</x:v>
      </x:c>
      <x:c r="AN157" s="24" t="n">
        <x:f>IFERROR(AI157/X157*100,0)</x:f>
        <x:v>2.5</x:v>
      </x:c>
      <x:c r="AO157" s="24" t="n">
        <x:f>IFERROR(AJ157/X157*100,0)</x:f>
        <x:v>1.0714285714285714</x:v>
      </x:c>
      <x:c r="AP157" s="24" t="n">
        <x:f>IFERROR(AK157/X157*100,0)</x:f>
        <x:v>1.0714285714285714</x:v>
      </x:c>
      <x:c r="AQ157" s="24" t="n">
        <x:f>IFERROR(AL157/X157*100,0)</x:f>
        <x:v>0.7142857142857143</x:v>
      </x:c>
      <x:c r="AR157" s="24" t="n">
        <x:f>IFERROR(AM157/X157*100,0)</x:f>
        <x:v>0.35714285714285715</x:v>
      </x:c>
      <x:c r="AS157" s="24" t="n">
        <x:f>IFERROR(Z157/X157*100,0)</x:f>
        <x:v>0.35714285714285715</x:v>
      </x:c>
      <x:c r="AT157" s="26" t="n">
        <x:v>-10.9</x:v>
      </x:c>
      <x:c r="AU157" s="26" t="n">
        <x:v>-60.1</x:v>
      </x:c>
      <x:c r="AV157" s="26" t="n">
        <x:v>-54.6</x:v>
      </x:c>
      <x:c r="AW157" s="26" t="n">
        <x:v>18.9</x:v>
      </x:c>
      <x:c r="AX157" s="26" t="n">
        <x:v>-7.4</x:v>
      </x:c>
      <x:c r="AY157" s="26" t="n">
        <x:v>-3</x:v>
      </x:c>
      <x:c r="AZ157" s="26" t="n">
        <x:v>20.2</x:v>
      </x:c>
      <x:c r="BA157" s="26" t="n">
        <x:v>-51.5</x:v>
      </x:c>
      <x:c r="BB157" s="22" t="n">
        <x:f>IFERROR(AE157/Z157,0)</x:f>
        <x:v>94547</x:v>
      </x:c>
      <x:c r="BC157" s="17" t="n">
        <x:f>IF(OR(V157="out_of_stock",V157="critical_low_stock"),MAX(0,(14-U157)*T157),0)</x:f>
        <x:v>0</x:v>
      </x:c>
      <x:c r="BD157" s="22" t="n">
        <x:f>IFERROR(BC157*M157,0)</x:f>
        <x:v>0</x:v>
      </x:c>
      <x:c r="BE157" s="17" t="str">
        <x:v>mobile_funnel_behavior</x:v>
      </x:c>
      <x:c r="BF157" s="17" t="str">
        <x:v>inspired_by_uploaded_mobile_funnel_screenshot + copied_product_context</x:v>
      </x:c>
    </x:row>
    <x:row r="158">
      <x:c r="A158" s="17" t="n">
        <x:v>157</x:v>
      </x:c>
      <x:c r="B158" s="17" t="str">
        <x:v>MOBILE_EVENT_FUNNEL</x:v>
      </x:c>
      <x:c r="C158" s="20" t="n">
        <x:v>46144</x:v>
      </x:c>
      <x:c r="D158" s="17" t="str">
        <x:v>Mobile Web</x:v>
      </x:c>
      <x:c r="E158" s="17" t="str">
        <x:v>Mobile</x:v>
      </x:c>
      <x:c r="F158" s="17" t="str">
        <x:v>Social Paid</x:v>
      </x:c>
      <x:c r="G158" s="17" t="n">
        <x:v>21</x:v>
      </x:c>
      <x:c r="H158" s="17" t="str">
        <x:v>DJI</x:v>
      </x:c>
      <x:c r="I158" s="17" t="str">
        <x:v>Foto &amp; Kamera &amp; Drone</x:v>
      </x:c>
      <x:c r="J158" s="17" t="str">
        <x:v>Drone</x:v>
      </x:c>
      <x:c r="K158" s="17" t="str">
        <x:v>DJI Osmo Pocket 4 Creator Combo Gimbal</x:v>
      </x:c>
      <x:c r="L158" s="17" t="str">
        <x:v>1254263</x:v>
      </x:c>
      <x:c r="M158" s="22" t="n">
        <x:v>17238</x:v>
      </x:c>
      <x:c r="N158" s="26" t="n">
        <x:v>13.8</x:v>
      </x:c>
      <x:c r="O158" s="22" t="n">
        <x:v>244</x:v>
      </x:c>
      <x:c r="P158" s="22" t="n">
        <x:v>53</x:v>
      </x:c>
      <x:c r="Q158" s="22" t="n">
        <x:v>0</x:v>
      </x:c>
      <x:c r="R158" s="17" t="n">
        <x:v>3</x:v>
      </x:c>
      <x:c r="S158" s="22" t="n">
        <x:v>6</x:v>
      </x:c>
      <x:c r="T158" s="24" t="n">
        <x:v>0.9</x:v>
      </x:c>
      <x:c r="U158" s="24" t="n">
        <x:f>IFERROR(O158/T158,0)</x:f>
        <x:v>271.1111111111111</x:v>
      </x:c>
      <x:c r="V158" s="17" t="str">
        <x:f>IF(O158&lt;=0,"out_of_stock",IF(U158&lt;7,"critical_low_stock",IF(U158&gt;60,"overstock","in_stock")))</x:f>
        <x:v>overstock</x:v>
      </x:c>
      <x:c r="W158" s="17" t="str">
        <x:f>IF(O158&lt;=0,"OOS",IF(AND(U158&lt;7,AC158&gt;=0.5),"High Risk",IF(U158&lt;14,"Medium Risk",IF(U158&gt;60,"Overstock","Healthy"))))</x:f>
        <x:v>Overstock</x:v>
      </x:c>
      <x:c r="X158" s="22" t="n">
        <x:v>1223</x:v>
      </x:c>
      <x:c r="Y158" s="22" t="n">
        <x:v>52</x:v>
      </x:c>
      <x:c r="Z158" s="22" t="n">
        <x:v>3</x:v>
      </x:c>
      <x:c r="AA158" s="24" t="n">
        <x:f>IFERROR(Y158/X158*100,0)</x:f>
        <x:v>4.251839738348324</x:v>
      </x:c>
      <x:c r="AB158" s="26" t="n">
        <x:v>-35.3</x:v>
      </x:c>
      <x:c r="AC158" s="24" t="n">
        <x:f>IFERROR(Z158/X158*100,0)</x:f>
        <x:v>0.24529844644317253</x:v>
      </x:c>
      <x:c r="AD158" s="26" t="n">
        <x:v>7.9</x:v>
      </x:c>
      <x:c r="AE158" s="22" t="n">
        <x:f>IFERROR(Z158*M158,0)</x:f>
        <x:v>51714</x:v>
      </x:c>
      <x:c r="AF158" s="26" t="n">
        <x:v>24.3</x:v>
      </x:c>
      <x:c r="AG158" s="24" t="n">
        <x:v>58.2</x:v>
      </x:c>
      <x:c r="AH158" s="26" t="n">
        <x:v>9</x:v>
      </x:c>
      <x:c r="AI158" s="22" t="n">
        <x:v>39</x:v>
      </x:c>
      <x:c r="AJ158" s="22" t="n">
        <x:v>23</x:v>
      </x:c>
      <x:c r="AK158" s="22" t="n">
        <x:v>12</x:v>
      </x:c>
      <x:c r="AL158" s="22" t="n">
        <x:v>9</x:v>
      </x:c>
      <x:c r="AM158" s="22" t="n">
        <x:v>7</x:v>
      </x:c>
      <x:c r="AN158" s="24" t="n">
        <x:f>IFERROR(AI158/X158*100,0)</x:f>
        <x:v>3.188879803761243</x:v>
      </x:c>
      <x:c r="AO158" s="24" t="n">
        <x:f>IFERROR(AJ158/X158*100,0)</x:f>
        <x:v>1.8806214227309894</x:v>
      </x:c>
      <x:c r="AP158" s="24" t="n">
        <x:f>IFERROR(AK158/X158*100,0)</x:f>
        <x:v>0.9811937857726901</x:v>
      </x:c>
      <x:c r="AQ158" s="24" t="n">
        <x:f>IFERROR(AL158/X158*100,0)</x:f>
        <x:v>0.7358953393295176</x:v>
      </x:c>
      <x:c r="AR158" s="24" t="n">
        <x:f>IFERROR(AM158/X158*100,0)</x:f>
        <x:v>0.5723630417007358</x:v>
      </x:c>
      <x:c r="AS158" s="24" t="n">
        <x:f>IFERROR(Z158/X158*100,0)</x:f>
        <x:v>0.24529844644317253</x:v>
      </x:c>
      <x:c r="AT158" s="26" t="n">
        <x:v>28.4</x:v>
      </x:c>
      <x:c r="AU158" s="26" t="n">
        <x:v>-35.3</x:v>
      </x:c>
      <x:c r="AV158" s="26" t="n">
        <x:v>-46.2</x:v>
      </x:c>
      <x:c r="AW158" s="26" t="n">
        <x:v>-20.3</x:v>
      </x:c>
      <x:c r="AX158" s="26" t="n">
        <x:v>-19.5</x:v>
      </x:c>
      <x:c r="AY158" s="26" t="n">
        <x:v>-18</x:v>
      </x:c>
      <x:c r="AZ158" s="26" t="n">
        <x:v>-2.1</x:v>
      </x:c>
      <x:c r="BA158" s="26" t="n">
        <x:v>7.9</x:v>
      </x:c>
      <x:c r="BB158" s="22" t="n">
        <x:f>IFERROR(AE158/Z158,0)</x:f>
        <x:v>17238</x:v>
      </x:c>
      <x:c r="BC158" s="17" t="n">
        <x:f>IF(OR(V158="out_of_stock",V158="critical_low_stock"),MAX(0,(14-U158)*T158),0)</x:f>
        <x:v>0</x:v>
      </x:c>
      <x:c r="BD158" s="22" t="n">
        <x:f>IFERROR(BC158*M158,0)</x:f>
        <x:v>0</x:v>
      </x:c>
      <x:c r="BE158" s="17" t="str">
        <x:v>mobile_funnel_behavior</x:v>
      </x:c>
      <x:c r="BF158" s="17" t="str">
        <x:v>inspired_by_uploaded_mobile_funnel_screenshot + copied_product_context</x:v>
      </x:c>
    </x:row>
    <x:row r="159">
      <x:c r="A159" s="17" t="n">
        <x:v>158</x:v>
      </x:c>
      <x:c r="B159" s="17" t="str">
        <x:v>MOBILE_EVENT_FUNNEL</x:v>
      </x:c>
      <x:c r="C159" s="20" t="n">
        <x:v>46145</x:v>
      </x:c>
      <x:c r="D159" s="17" t="str">
        <x:v>Mobile Web</x:v>
      </x:c>
      <x:c r="E159" s="17" t="str">
        <x:v>Mobile</x:v>
      </x:c>
      <x:c r="F159" s="17" t="str">
        <x:v>Search Paid Brand</x:v>
      </x:c>
      <x:c r="G159" s="17" t="n">
        <x:v>99</x:v>
      </x:c>
      <x:c r="H159" s="17" t="str">
        <x:v>STANLEY</x:v>
      </x:c>
      <x:c r="I159" s="17" t="str">
        <x:v>Other</x:v>
      </x:c>
      <x:c r="J159" s="17" t="str">
        <x:v>Other</x:v>
      </x:c>
      <x:c r="K159" s="17" t="str">
        <x:v>STANLEY The Quick-Flip Water Bottle .47L / 16oz Termos Azure</x:v>
      </x:c>
      <x:c r="L159" s="17" t="str">
        <x:v>1238779</x:v>
      </x:c>
      <x:c r="M159" s="22" t="n">
        <x:v>2699</x:v>
      </x:c>
      <x:c r="N159" s="26" t="n">
        <x:v>-20</x:v>
      </x:c>
      <x:c r="O159" s="22" t="n">
        <x:v>30</x:v>
      </x:c>
      <x:c r="P159" s="22" t="n">
        <x:v>13</x:v>
      </x:c>
      <x:c r="Q159" s="22" t="n">
        <x:v>0</x:v>
      </x:c>
      <x:c r="R159" s="17" t="n">
        <x:v>5</x:v>
      </x:c>
      <x:c r="S159" s="22" t="n">
        <x:v>6</x:v>
      </x:c>
      <x:c r="T159" s="24" t="n">
        <x:v>0.7</x:v>
      </x:c>
      <x:c r="U159" s="24" t="n">
        <x:f>IFERROR(O159/T159,0)</x:f>
        <x:v>42.85714285714286</x:v>
      </x:c>
      <x:c r="V159" s="17" t="str">
        <x:f>IF(O159&lt;=0,"out_of_stock",IF(U159&lt;7,"critical_low_stock",IF(U159&gt;60,"overstock","in_stock")))</x:f>
        <x:v>in_stock</x:v>
      </x:c>
      <x:c r="W159" s="17" t="str">
        <x:f>IF(O159&lt;=0,"OOS",IF(AND(U159&lt;7,AC159&gt;=0.5),"High Risk",IF(U159&lt;14,"Medium Risk",IF(U159&gt;60,"Overstock","Healthy"))))</x:f>
        <x:v>Healthy</x:v>
      </x:c>
      <x:c r="X159" s="22" t="n">
        <x:v>622</x:v>
      </x:c>
      <x:c r="Y159" s="22" t="n">
        <x:v>58</x:v>
      </x:c>
      <x:c r="Z159" s="22" t="n">
        <x:v>3</x:v>
      </x:c>
      <x:c r="AA159" s="24" t="n">
        <x:f>IFERROR(Y159/X159*100,0)</x:f>
        <x:v>9.32475884244373</x:v>
      </x:c>
      <x:c r="AB159" s="26" t="n">
        <x:v>-44</x:v>
      </x:c>
      <x:c r="AC159" s="24" t="n">
        <x:f>IFERROR(Z159/X159*100,0)</x:f>
        <x:v>0.482315112540193</x:v>
      </x:c>
      <x:c r="AD159" s="26" t="n">
        <x:v>-61.8</x:v>
      </x:c>
      <x:c r="AE159" s="22" t="n">
        <x:f>IFERROR(Z159*M159,0)</x:f>
        <x:v>8097</x:v>
      </x:c>
      <x:c r="AF159" s="26" t="n">
        <x:v>-87.1</x:v>
      </x:c>
      <x:c r="AG159" s="24" t="n">
        <x:v>62.2</x:v>
      </x:c>
      <x:c r="AH159" s="26" t="n">
        <x:v>13.6</x:v>
      </x:c>
      <x:c r="AI159" s="22" t="n">
        <x:v>29</x:v>
      </x:c>
      <x:c r="AJ159" s="22" t="n">
        <x:v>17</x:v>
      </x:c>
      <x:c r="AK159" s="22" t="n">
        <x:v>9</x:v>
      </x:c>
      <x:c r="AL159" s="22" t="n">
        <x:v>8</x:v>
      </x:c>
      <x:c r="AM159" s="22" t="n">
        <x:v>4</x:v>
      </x:c>
      <x:c r="AN159" s="24" t="n">
        <x:f>IFERROR(AI159/X159*100,0)</x:f>
        <x:v>4.662379421221865</x:v>
      </x:c>
      <x:c r="AO159" s="24" t="n">
        <x:f>IFERROR(AJ159/X159*100,0)</x:f>
        <x:v>2.7331189710610935</x:v>
      </x:c>
      <x:c r="AP159" s="24" t="n">
        <x:f>IFERROR(AK159/X159*100,0)</x:f>
        <x:v>1.4469453376205788</x:v>
      </x:c>
      <x:c r="AQ159" s="24" t="n">
        <x:f>IFERROR(AL159/X159*100,0)</x:f>
        <x:v>1.2861736334405145</x:v>
      </x:c>
      <x:c r="AR159" s="24" t="n">
        <x:f>IFERROR(AM159/X159*100,0)</x:f>
        <x:v>0.6430868167202572</x:v>
      </x:c>
      <x:c r="AS159" s="24" t="n">
        <x:f>IFERROR(Z159/X159*100,0)</x:f>
        <x:v>0.482315112540193</x:v>
      </x:c>
      <x:c r="AT159" s="26" t="n">
        <x:v>19.5</x:v>
      </x:c>
      <x:c r="AU159" s="26" t="n">
        <x:v>-44</x:v>
      </x:c>
      <x:c r="AV159" s="26" t="n">
        <x:v>-37.5</x:v>
      </x:c>
      <x:c r="AW159" s="26" t="n">
        <x:v>-25.5</x:v>
      </x:c>
      <x:c r="AX159" s="26" t="n">
        <x:v>-37.7</x:v>
      </x:c>
      <x:c r="AY159" s="26" t="n">
        <x:v>-23.8</x:v>
      </x:c>
      <x:c r="AZ159" s="26" t="n">
        <x:v>-25.8</x:v>
      </x:c>
      <x:c r="BA159" s="26" t="n">
        <x:v>-61.8</x:v>
      </x:c>
      <x:c r="BB159" s="22" t="n">
        <x:f>IFERROR(AE159/Z159,0)</x:f>
        <x:v>2699</x:v>
      </x:c>
      <x:c r="BC159" s="17" t="n">
        <x:f>IF(OR(V159="out_of_stock",V159="critical_low_stock"),MAX(0,(14-U159)*T159),0)</x:f>
        <x:v>0</x:v>
      </x:c>
      <x:c r="BD159" s="22" t="n">
        <x:f>IFERROR(BC159*M159,0)</x:f>
        <x:v>0</x:v>
      </x:c>
      <x:c r="BE159" s="17" t="str">
        <x:v>mobile_funnel_behavior</x:v>
      </x:c>
      <x:c r="BF159" s="17" t="str">
        <x:v>inspired_by_uploaded_mobile_funnel_screenshot + copied_product_context</x:v>
      </x:c>
    </x:row>
    <x:row r="160">
      <x:c r="A160" s="17" t="n">
        <x:v>159</x:v>
      </x:c>
      <x:c r="B160" s="17" t="str">
        <x:v>MOBILE_EVENT_FUNNEL</x:v>
      </x:c>
      <x:c r="C160" s="20" t="n">
        <x:v>46146</x:v>
      </x:c>
      <x:c r="D160" s="17" t="str">
        <x:v>Mobile Web</x:v>
      </x:c>
      <x:c r="E160" s="17" t="str">
        <x:v>Mobile</x:v>
      </x:c>
      <x:c r="F160" s="17" t="str">
        <x:v>Search Organic Brand</x:v>
      </x:c>
      <x:c r="G160" s="17" t="n">
        <x:v>40</x:v>
      </x:c>
      <x:c r="H160" s="17" t="str">
        <x:v>APPLE</x:v>
      </x:c>
      <x:c r="I160" s="17" t="str">
        <x:v>Telefon</x:v>
      </x:c>
      <x:c r="J160" s="17" t="str">
        <x:v>Giyilebilir Teknoloji</x:v>
      </x:c>
      <x:c r="K160" s="17" t="str">
        <x:v>APPLE MEUX4TU/A Watch Series 11 GPS 46mm Jet Siyah Alüminyum Kasa ve Siyah Spor Kordon - M/L</x:v>
      </x:c>
      <x:c r="L160" s="17" t="str">
        <x:v>1249342</x:v>
      </x:c>
      <x:c r="M160" s="22" t="n">
        <x:v>22377</x:v>
      </x:c>
      <x:c r="N160" s="26" t="n">
        <x:v>-4.6</x:v>
      </x:c>
      <x:c r="O160" s="22" t="n">
        <x:v>53</x:v>
      </x:c>
      <x:c r="P160" s="22" t="n">
        <x:v>78</x:v>
      </x:c>
      <x:c r="Q160" s="22" t="n">
        <x:v>0</x:v>
      </x:c>
      <x:c r="R160" s="17" t="n">
        <x:v>7</x:v>
      </x:c>
      <x:c r="S160" s="22" t="n">
        <x:v>11</x:v>
      </x:c>
      <x:c r="T160" s="24" t="n">
        <x:v>1.1</x:v>
      </x:c>
      <x:c r="U160" s="24" t="n">
        <x:f>IFERROR(O160/T160,0)</x:f>
        <x:v>48.18181818181818</x:v>
      </x:c>
      <x:c r="V160" s="17" t="str">
        <x:f>IF(O160&lt;=0,"out_of_stock",IF(U160&lt;7,"critical_low_stock",IF(U160&gt;60,"overstock","in_stock")))</x:f>
        <x:v>in_stock</x:v>
      </x:c>
      <x:c r="W160" s="17" t="str">
        <x:f>IF(O160&lt;=0,"OOS",IF(AND(U160&lt;7,AC160&gt;=0.5),"High Risk",IF(U160&lt;14,"Medium Risk",IF(U160&gt;60,"Overstock","Healthy"))))</x:f>
        <x:v>Healthy</x:v>
      </x:c>
      <x:c r="X160" s="22" t="n">
        <x:v>131</x:v>
      </x:c>
      <x:c r="Y160" s="22" t="n">
        <x:v>5</x:v>
      </x:c>
      <x:c r="Z160" s="22" t="n">
        <x:v>1</x:v>
      </x:c>
      <x:c r="AA160" s="24" t="n">
        <x:f>IFERROR(Y160/X160*100,0)</x:f>
        <x:v>3.816793893129771</x:v>
      </x:c>
      <x:c r="AB160" s="26" t="n">
        <x:v>-33.7</x:v>
      </x:c>
      <x:c r="AC160" s="24" t="n">
        <x:f>IFERROR(Z160/X160*100,0)</x:f>
        <x:v>0.7633587786259541</x:v>
      </x:c>
      <x:c r="AD160" s="26" t="n">
        <x:v>-1.6</x:v>
      </x:c>
      <x:c r="AE160" s="22" t="n">
        <x:f>IFERROR(Z160*M160,0)</x:f>
        <x:v>22377</x:v>
      </x:c>
      <x:c r="AF160" s="26" t="n">
        <x:v>-15.3</x:v>
      </x:c>
      <x:c r="AG160" s="24" t="n">
        <x:v>51.2</x:v>
      </x:c>
      <x:c r="AH160" s="26" t="n">
        <x:v>-5.4</x:v>
      </x:c>
      <x:c r="AI160" s="22" t="n">
        <x:v>3</x:v>
      </x:c>
      <x:c r="AJ160" s="22" t="n">
        <x:v>2</x:v>
      </x:c>
      <x:c r="AK160" s="22" t="n">
        <x:v>2</x:v>
      </x:c>
      <x:c r="AL160" s="22" t="n">
        <x:v>2</x:v>
      </x:c>
      <x:c r="AM160" s="22" t="n">
        <x:v>1</x:v>
      </x:c>
      <x:c r="AN160" s="24" t="n">
        <x:f>IFERROR(AI160/X160*100,0)</x:f>
        <x:v>2.2900763358778624</x:v>
      </x:c>
      <x:c r="AO160" s="24" t="n">
        <x:f>IFERROR(AJ160/X160*100,0)</x:f>
        <x:v>1.5267175572519083</x:v>
      </x:c>
      <x:c r="AP160" s="24" t="n">
        <x:f>IFERROR(AK160/X160*100,0)</x:f>
        <x:v>1.5267175572519083</x:v>
      </x:c>
      <x:c r="AQ160" s="24" t="n">
        <x:f>IFERROR(AL160/X160*100,0)</x:f>
        <x:v>1.5267175572519083</x:v>
      </x:c>
      <x:c r="AR160" s="24" t="n">
        <x:f>IFERROR(AM160/X160*100,0)</x:f>
        <x:v>0.7633587786259541</x:v>
      </x:c>
      <x:c r="AS160" s="24" t="n">
        <x:f>IFERROR(Z160/X160*100,0)</x:f>
        <x:v>0.7633587786259541</x:v>
      </x:c>
      <x:c r="AT160" s="26" t="n">
        <x:v>7.5</x:v>
      </x:c>
      <x:c r="AU160" s="26" t="n">
        <x:v>-33.7</x:v>
      </x:c>
      <x:c r="AV160" s="26" t="n">
        <x:v>-36.3</x:v>
      </x:c>
      <x:c r="AW160" s="26" t="n">
        <x:v>17.2</x:v>
      </x:c>
      <x:c r="AX160" s="26" t="n">
        <x:v>-11.3</x:v>
      </x:c>
      <x:c r="AY160" s="26" t="n">
        <x:v>15.2</x:v>
      </x:c>
      <x:c r="AZ160" s="26" t="n">
        <x:v>7.1</x:v>
      </x:c>
      <x:c r="BA160" s="26" t="n">
        <x:v>-1.6</x:v>
      </x:c>
      <x:c r="BB160" s="22" t="n">
        <x:f>IFERROR(AE160/Z160,0)</x:f>
        <x:v>22377</x:v>
      </x:c>
      <x:c r="BC160" s="17" t="n">
        <x:f>IF(OR(V160="out_of_stock",V160="critical_low_stock"),MAX(0,(14-U160)*T160),0)</x:f>
        <x:v>0</x:v>
      </x:c>
      <x:c r="BD160" s="22" t="n">
        <x:f>IFERROR(BC160*M160,0)</x:f>
        <x:v>0</x:v>
      </x:c>
      <x:c r="BE160" s="17" t="str">
        <x:v>mobile_funnel_behavior</x:v>
      </x:c>
      <x:c r="BF160" s="17" t="str">
        <x:v>inspired_by_uploaded_mobile_funnel_screenshot + copied_product_context</x:v>
      </x:c>
    </x:row>
    <x:row r="161">
      <x:c r="A161" s="17" t="n">
        <x:v>160</x:v>
      </x:c>
      <x:c r="B161" s="17" t="str">
        <x:v>MOBILE_EVENT_FUNNEL</x:v>
      </x:c>
      <x:c r="C161" s="20" t="n">
        <x:v>46147</x:v>
      </x:c>
      <x:c r="D161" s="17" t="str">
        <x:v>Mobile Web</x:v>
      </x:c>
      <x:c r="E161" s="17" t="str">
        <x:v>Mobile</x:v>
      </x:c>
      <x:c r="F161" s="17" t="str">
        <x:v>Search Organic Brand</x:v>
      </x:c>
      <x:c r="G161" s="17" t="n">
        <x:v>28</x:v>
      </x:c>
      <x:c r="H161" s="17" t="str">
        <x:v>APPLE</x:v>
      </x:c>
      <x:c r="I161" s="17" t="str">
        <x:v>Telefon</x:v>
      </x:c>
      <x:c r="J161" s="17" t="str">
        <x:v>Cep Telefonları</x:v>
      </x:c>
      <x:c r="K161" s="17" t="str">
        <x:v>APPLE iPhone 15 256 GB Akıllı Telefon Yeşil MTPA3TU/A</x:v>
      </x:c>
      <x:c r="L161" s="17" t="str">
        <x:v>1232442</x:v>
      </x:c>
      <x:c r="M161" s="22" t="n">
        <x:v>37061</x:v>
      </x:c>
      <x:c r="N161" s="26" t="n">
        <x:v>4.6</x:v>
      </x:c>
      <x:c r="O161" s="22" t="n">
        <x:v>7</x:v>
      </x:c>
      <x:c r="P161" s="22" t="n">
        <x:v>5</x:v>
      </x:c>
      <x:c r="Q161" s="22" t="n">
        <x:v>18</x:v>
      </x:c>
      <x:c r="R161" s="17" t="n">
        <x:v>5</x:v>
      </x:c>
      <x:c r="S161" s="22" t="n">
        <x:v>9</x:v>
      </x:c>
      <x:c r="T161" s="24" t="n">
        <x:v>1.1</x:v>
      </x:c>
      <x:c r="U161" s="24" t="n">
        <x:f>IFERROR(O161/T161,0)</x:f>
        <x:v>6.363636363636363</x:v>
      </x:c>
      <x:c r="V161" s="17" t="str">
        <x:f>IF(O161&lt;=0,"out_of_stock",IF(U161&lt;7,"critical_low_stock",IF(U161&gt;60,"overstock","in_stock")))</x:f>
        <x:v>critical_low_stock</x:v>
      </x:c>
      <x:c r="W161" s="17" t="str">
        <x:f>IF(O161&lt;=0,"OOS",IF(AND(U161&lt;7,AC161&gt;=0.5),"High Risk",IF(U161&lt;14,"Medium Risk",IF(U161&gt;60,"Overstock","Healthy"))))</x:f>
        <x:v>Medium Risk</x:v>
      </x:c>
      <x:c r="X161" s="22" t="n">
        <x:v>455</x:v>
      </x:c>
      <x:c r="Y161" s="22" t="n">
        <x:v>14</x:v>
      </x:c>
      <x:c r="Z161" s="22" t="n">
        <x:v>0</x:v>
      </x:c>
      <x:c r="AA161" s="24" t="n">
        <x:f>IFERROR(Y161/X161*100,0)</x:f>
        <x:v>3.076923076923077</x:v>
      </x:c>
      <x:c r="AB161" s="26" t="n">
        <x:v>-18.2</x:v>
      </x:c>
      <x:c r="AC161" s="24" t="n">
        <x:f>IFERROR(Z161/X161*100,0)</x:f>
        <x:v>0</x:v>
      </x:c>
      <x:c r="AD161" s="26" t="n">
        <x:v>-10.6</x:v>
      </x:c>
      <x:c r="AE161" s="22" t="n">
        <x:f>IFERROR(Z161*M161,0)</x:f>
        <x:v>0</x:v>
      </x:c>
      <x:c r="AF161" s="26" t="n">
        <x:v>-15.4</x:v>
      </x:c>
      <x:c r="AG161" s="24" t="n">
        <x:v>37.1</x:v>
      </x:c>
      <x:c r="AH161" s="26" t="n">
        <x:v>16.5</x:v>
      </x:c>
      <x:c r="AI161" s="22" t="n">
        <x:v>2</x:v>
      </x:c>
      <x:c r="AJ161" s="22" t="n">
        <x:v>1</x:v>
      </x:c>
      <x:c r="AK161" s="22" t="n">
        <x:v>1</x:v>
      </x:c>
      <x:c r="AL161" s="22" t="n">
        <x:v>1</x:v>
      </x:c>
      <x:c r="AM161" s="22" t="n">
        <x:v>0</x:v>
      </x:c>
      <x:c r="AN161" s="24" t="n">
        <x:f>IFERROR(AI161/X161*100,0)</x:f>
        <x:v>0.43956043956043955</x:v>
      </x:c>
      <x:c r="AO161" s="24" t="n">
        <x:f>IFERROR(AJ161/X161*100,0)</x:f>
        <x:v>0.21978021978021978</x:v>
      </x:c>
      <x:c r="AP161" s="24" t="n">
        <x:f>IFERROR(AK161/X161*100,0)</x:f>
        <x:v>0.21978021978021978</x:v>
      </x:c>
      <x:c r="AQ161" s="24" t="n">
        <x:f>IFERROR(AL161/X161*100,0)</x:f>
        <x:v>0.21978021978021978</x:v>
      </x:c>
      <x:c r="AR161" s="24" t="n">
        <x:f>IFERROR(AM161/X161*100,0)</x:f>
        <x:v>0</x:v>
      </x:c>
      <x:c r="AS161" s="24" t="n">
        <x:f>IFERROR(Z161/X161*100,0)</x:f>
        <x:v>0</x:v>
      </x:c>
      <x:c r="AT161" s="26" t="n">
        <x:v>14</x:v>
      </x:c>
      <x:c r="AU161" s="26" t="n">
        <x:v>-18.2</x:v>
      </x:c>
      <x:c r="AV161" s="26" t="n">
        <x:v>-62.9</x:v>
      </x:c>
      <x:c r="AW161" s="26" t="n">
        <x:v>-64.2</x:v>
      </x:c>
      <x:c r="AX161" s="26" t="n">
        <x:v>-5</x:v>
      </x:c>
      <x:c r="AY161" s="26" t="n">
        <x:v>-22.3</x:v>
      </x:c>
      <x:c r="AZ161" s="26" t="n">
        <x:v>-30.3</x:v>
      </x:c>
      <x:c r="BA161" s="26" t="n">
        <x:v>-10.6</x:v>
      </x:c>
      <x:c r="BB161" s="22" t="n">
        <x:f>IFERROR(AE161/Z161,0)</x:f>
        <x:v>0</x:v>
      </x:c>
      <x:c r="BC161" s="17" t="n">
        <x:f>IF(OR(V161="out_of_stock",V161="critical_low_stock"),MAX(0,(14-U161)*T161),0)</x:f>
        <x:v>8.4</x:v>
      </x:c>
      <x:c r="BD161" s="22" t="n">
        <x:f>IFERROR(BC161*M161,0)</x:f>
        <x:v>311312.4</x:v>
      </x:c>
      <x:c r="BE161" s="17" t="str">
        <x:v>mobile_funnel_behavior</x:v>
      </x:c>
      <x:c r="BF161" s="17" t="str">
        <x:v>inspired_by_uploaded_mobile_funnel_screenshot + copied_product_context</x:v>
      </x:c>
    </x:row>
    <x:row r="162">
      <x:c r="A162" s="17" t="n">
        <x:v>161</x:v>
      </x:c>
      <x:c r="B162" s="17" t="str">
        <x:v>MOBILE_EVENT_FUNNEL</x:v>
      </x:c>
      <x:c r="C162" s="20" t="n">
        <x:v>46148</x:v>
      </x:c>
      <x:c r="D162" s="17" t="str">
        <x:v>Mobile Web</x:v>
      </x:c>
      <x:c r="E162" s="17" t="str">
        <x:v>Mobile</x:v>
      </x:c>
      <x:c r="F162" s="17" t="str">
        <x:v>Search Paid Brand</x:v>
      </x:c>
      <x:c r="G162" s="17" t="n">
        <x:v>26</x:v>
      </x:c>
      <x:c r="H162" s="17" t="str">
        <x:v>LOGITECH</x:v>
      </x:c>
      <x:c r="I162" s="17" t="str">
        <x:v>Bilgisayar</x:v>
      </x:c>
      <x:c r="J162" s="17" t="str">
        <x:v>Oyuncu Aksesuarları</x:v>
      </x:c>
      <x:c r="K162" s="17" t="str">
        <x:v>LOGITECH G G733 Lightspeed RGB Kablosuz 7.1 Surround Ses Oyuncu Kulaklığı - Siyah</x:v>
      </x:c>
      <x:c r="L162" s="17" t="str">
        <x:v>1212895</x:v>
      </x:c>
      <x:c r="M162" s="22" t="n">
        <x:v>6358</x:v>
      </x:c>
      <x:c r="N162" s="26" t="n">
        <x:v>3.5</x:v>
      </x:c>
      <x:c r="O162" s="22" t="n">
        <x:v>560</x:v>
      </x:c>
      <x:c r="P162" s="22" t="n">
        <x:v>823</x:v>
      </x:c>
      <x:c r="Q162" s="22" t="n">
        <x:v>0</x:v>
      </x:c>
      <x:c r="R162" s="17" t="n">
        <x:v>21</x:v>
      </x:c>
      <x:c r="S162" s="22" t="n">
        <x:v>27</x:v>
      </x:c>
      <x:c r="T162" s="24" t="n">
        <x:v>1.1</x:v>
      </x:c>
      <x:c r="U162" s="24" t="n">
        <x:f>IFERROR(O162/T162,0)</x:f>
        <x:v>509.09090909090907</x:v>
      </x:c>
      <x:c r="V162" s="17" t="str">
        <x:f>IF(O162&lt;=0,"out_of_stock",IF(U162&lt;7,"critical_low_stock",IF(U162&gt;60,"overstock","in_stock")))</x:f>
        <x:v>overstock</x:v>
      </x:c>
      <x:c r="W162" s="17" t="str">
        <x:f>IF(O162&lt;=0,"OOS",IF(AND(U162&lt;7,AC162&gt;=0.5),"High Risk",IF(U162&lt;14,"Medium Risk",IF(U162&gt;60,"Overstock","Healthy"))))</x:f>
        <x:v>Overstock</x:v>
      </x:c>
      <x:c r="X162" s="22" t="n">
        <x:v>793</x:v>
      </x:c>
      <x:c r="Y162" s="22" t="n">
        <x:v>32</x:v>
      </x:c>
      <x:c r="Z162" s="22" t="n">
        <x:v>1</x:v>
      </x:c>
      <x:c r="AA162" s="24" t="n">
        <x:f>IFERROR(Y162/X162*100,0)</x:f>
        <x:v>4.03530895334174</x:v>
      </x:c>
      <x:c r="AB162" s="26" t="n">
        <x:v>-72.1</x:v>
      </x:c>
      <x:c r="AC162" s="24" t="n">
        <x:f>IFERROR(Z162/X162*100,0)</x:f>
        <x:v>0.12610340479192939</x:v>
      </x:c>
      <x:c r="AD162" s="26" t="n">
        <x:v>-43.2</x:v>
      </x:c>
      <x:c r="AE162" s="22" t="n">
        <x:f>IFERROR(Z162*M162,0)</x:f>
        <x:v>6358</x:v>
      </x:c>
      <x:c r="AF162" s="26" t="n">
        <x:v>-33.2</x:v>
      </x:c>
      <x:c r="AG162" s="24" t="n">
        <x:v>65.6</x:v>
      </x:c>
      <x:c r="AH162" s="26" t="n">
        <x:v>5.5</x:v>
      </x:c>
      <x:c r="AI162" s="22" t="n">
        <x:v>18</x:v>
      </x:c>
      <x:c r="AJ162" s="22" t="n">
        <x:v>6</x:v>
      </x:c>
      <x:c r="AK162" s="22" t="n">
        <x:v>3</x:v>
      </x:c>
      <x:c r="AL162" s="22" t="n">
        <x:v>2</x:v>
      </x:c>
      <x:c r="AM162" s="22" t="n">
        <x:v>2</x:v>
      </x:c>
      <x:c r="AN162" s="24" t="n">
        <x:f>IFERROR(AI162/X162*100,0)</x:f>
        <x:v>2.269861286254729</x:v>
      </x:c>
      <x:c r="AO162" s="24" t="n">
        <x:f>IFERROR(AJ162/X162*100,0)</x:f>
        <x:v>0.7566204287515763</x:v>
      </x:c>
      <x:c r="AP162" s="24" t="n">
        <x:f>IFERROR(AK162/X162*100,0)</x:f>
        <x:v>0.37831021437578816</x:v>
      </x:c>
      <x:c r="AQ162" s="24" t="n">
        <x:f>IFERROR(AL162/X162*100,0)</x:f>
        <x:v>0.25220680958385877</x:v>
      </x:c>
      <x:c r="AR162" s="24" t="n">
        <x:f>IFERROR(AM162/X162*100,0)</x:f>
        <x:v>0.25220680958385877</x:v>
      </x:c>
      <x:c r="AS162" s="24" t="n">
        <x:f>IFERROR(Z162/X162*100,0)</x:f>
        <x:v>0.12610340479192939</x:v>
      </x:c>
      <x:c r="AT162" s="26" t="n">
        <x:v>-2.3</x:v>
      </x:c>
      <x:c r="AU162" s="26" t="n">
        <x:v>-72.1</x:v>
      </x:c>
      <x:c r="AV162" s="26" t="n">
        <x:v>-61.7</x:v>
      </x:c>
      <x:c r="AW162" s="26" t="n">
        <x:v>-15.2</x:v>
      </x:c>
      <x:c r="AX162" s="26" t="n">
        <x:v>-26.4</x:v>
      </x:c>
      <x:c r="AY162" s="26" t="n">
        <x:v>-9</x:v>
      </x:c>
      <x:c r="AZ162" s="26" t="n">
        <x:v>-24.4</x:v>
      </x:c>
      <x:c r="BA162" s="26" t="n">
        <x:v>-43.2</x:v>
      </x:c>
      <x:c r="BB162" s="22" t="n">
        <x:f>IFERROR(AE162/Z162,0)</x:f>
        <x:v>6358</x:v>
      </x:c>
      <x:c r="BC162" s="17" t="n">
        <x:f>IF(OR(V162="out_of_stock",V162="critical_low_stock"),MAX(0,(14-U162)*T162),0)</x:f>
        <x:v>0</x:v>
      </x:c>
      <x:c r="BD162" s="22" t="n">
        <x:f>IFERROR(BC162*M162,0)</x:f>
        <x:v>0</x:v>
      </x:c>
      <x:c r="BE162" s="17" t="str">
        <x:v>mobile_funnel_behavior</x:v>
      </x:c>
      <x:c r="BF162" s="17" t="str">
        <x:v>inspired_by_uploaded_mobile_funnel_screenshot + copied_product_context</x:v>
      </x:c>
    </x:row>
    <x:row r="163">
      <x:c r="A163" s="17" t="n">
        <x:v>162</x:v>
      </x:c>
      <x:c r="B163" s="17" t="str">
        <x:v>MOBILE_EVENT_FUNNEL</x:v>
      </x:c>
      <x:c r="C163" s="20" t="n">
        <x:v>46149</x:v>
      </x:c>
      <x:c r="D163" s="17" t="str">
        <x:v>Mobile Web</x:v>
      </x:c>
      <x:c r="E163" s="17" t="str">
        <x:v>Mobile</x:v>
      </x:c>
      <x:c r="F163" s="17" t="str">
        <x:v>Search Paid Brand</x:v>
      </x:c>
      <x:c r="G163" s="17" t="n">
        <x:v>28</x:v>
      </x:c>
      <x:c r="H163" s="17" t="str">
        <x:v>APPLE</x:v>
      </x:c>
      <x:c r="I163" s="17" t="str">
        <x:v>Telefon</x:v>
      </x:c>
      <x:c r="J163" s="17" t="str">
        <x:v>Cep Telefonları</x:v>
      </x:c>
      <x:c r="K163" s="17" t="str">
        <x:v>APPLE iPhone 17 256 GB Akıllı Telefon Adaçayı MG6N4TU/A</x:v>
      </x:c>
      <x:c r="L163" s="17" t="str">
        <x:v>1249225</x:v>
      </x:c>
      <x:c r="M163" s="22" t="n">
        <x:v>57212</x:v>
      </x:c>
      <x:c r="N163" s="26" t="n">
        <x:v>16.9</x:v>
      </x:c>
      <x:c r="O163" s="22" t="n">
        <x:v>43</x:v>
      </x:c>
      <x:c r="P163" s="22" t="n">
        <x:v>44</x:v>
      </x:c>
      <x:c r="Q163" s="22" t="n">
        <x:v>0</x:v>
      </x:c>
      <x:c r="R163" s="17" t="n">
        <x:v>10</x:v>
      </x:c>
      <x:c r="S163" s="22" t="n">
        <x:v>36</x:v>
      </x:c>
      <x:c r="T163" s="24" t="n">
        <x:v>2.7</x:v>
      </x:c>
      <x:c r="U163" s="24" t="n">
        <x:f>IFERROR(O163/T163,0)</x:f>
        <x:v>15.925925925925926</x:v>
      </x:c>
      <x:c r="V163" s="17" t="str">
        <x:f>IF(O163&lt;=0,"out_of_stock",IF(U163&lt;7,"critical_low_stock",IF(U163&gt;60,"overstock","in_stock")))</x:f>
        <x:v>in_stock</x:v>
      </x:c>
      <x:c r="W163" s="17" t="str">
        <x:f>IF(O163&lt;=0,"OOS",IF(AND(U163&lt;7,AC163&gt;=0.5),"High Risk",IF(U163&lt;14,"Medium Risk",IF(U163&gt;60,"Overstock","Healthy"))))</x:f>
        <x:v>Healthy</x:v>
      </x:c>
      <x:c r="X163" s="22" t="n">
        <x:v>3623</x:v>
      </x:c>
      <x:c r="Y163" s="22" t="n">
        <x:v>163</x:v>
      </x:c>
      <x:c r="Z163" s="22" t="n">
        <x:v>18</x:v>
      </x:c>
      <x:c r="AA163" s="24" t="n">
        <x:f>IFERROR(Y163/X163*100,0)</x:f>
        <x:v>4.499033949765388</x:v>
      </x:c>
      <x:c r="AB163" s="26" t="n">
        <x:v>-28.8</x:v>
      </x:c>
      <x:c r="AC163" s="24" t="n">
        <x:f>IFERROR(Z163/X163*100,0)</x:f>
        <x:v>0.49682583494341703</x:v>
      </x:c>
      <x:c r="AD163" s="26" t="n">
        <x:v>-35.7</x:v>
      </x:c>
      <x:c r="AE163" s="22" t="n">
        <x:f>IFERROR(Z163*M163,0)</x:f>
        <x:v>1029816</x:v>
      </x:c>
      <x:c r="AF163" s="26" t="n">
        <x:v>-20.7</x:v>
      </x:c>
      <x:c r="AG163" s="24" t="n">
        <x:v>63.6</x:v>
      </x:c>
      <x:c r="AH163" s="26" t="n">
        <x:v>-6</x:v>
      </x:c>
      <x:c r="AI163" s="22" t="n">
        <x:v>133</x:v>
      </x:c>
      <x:c r="AJ163" s="22" t="n">
        <x:v>97</x:v>
      </x:c>
      <x:c r="AK163" s="22" t="n">
        <x:v>83</x:v>
      </x:c>
      <x:c r="AL163" s="22" t="n">
        <x:v>56</x:v>
      </x:c>
      <x:c r="AM163" s="22" t="n">
        <x:v>38</x:v>
      </x:c>
      <x:c r="AN163" s="24" t="n">
        <x:f>IFERROR(AI163/X163*100,0)</x:f>
        <x:v>3.670990891526359</x:v>
      </x:c>
      <x:c r="AO163" s="24" t="n">
        <x:f>IFERROR(AJ163/X163*100,0)</x:f>
        <x:v>2.6773392216395253</x:v>
      </x:c>
      <x:c r="AP163" s="24" t="n">
        <x:f>IFERROR(AK163/X163*100,0)</x:f>
        <x:v>2.2909191277946452</x:v>
      </x:c>
      <x:c r="AQ163" s="24" t="n">
        <x:f>IFERROR(AL163/X163*100,0)</x:f>
        <x:v>1.5456803753795199</x:v>
      </x:c>
      <x:c r="AR163" s="24" t="n">
        <x:f>IFERROR(AM163/X163*100,0)</x:f>
        <x:v>1.0488545404361027</x:v>
      </x:c>
      <x:c r="AS163" s="24" t="n">
        <x:f>IFERROR(Z163/X163*100,0)</x:f>
        <x:v>0.49682583494341703</x:v>
      </x:c>
      <x:c r="AT163" s="26" t="n">
        <x:v>-12.8</x:v>
      </x:c>
      <x:c r="AU163" s="26" t="n">
        <x:v>-28.8</x:v>
      </x:c>
      <x:c r="AV163" s="26" t="n">
        <x:v>0</x:v>
      </x:c>
      <x:c r="AW163" s="26" t="n">
        <x:v>-16.5</x:v>
      </x:c>
      <x:c r="AX163" s="26" t="n">
        <x:v>-20.4</x:v>
      </x:c>
      <x:c r="AY163" s="26" t="n">
        <x:v>34.3</x:v>
      </x:c>
      <x:c r="AZ163" s="26" t="n">
        <x:v>-18.1</x:v>
      </x:c>
      <x:c r="BA163" s="26" t="n">
        <x:v>-35.7</x:v>
      </x:c>
      <x:c r="BB163" s="22" t="n">
        <x:f>IFERROR(AE163/Z163,0)</x:f>
        <x:v>57212</x:v>
      </x:c>
      <x:c r="BC163" s="17" t="n">
        <x:f>IF(OR(V163="out_of_stock",V163="critical_low_stock"),MAX(0,(14-U163)*T163),0)</x:f>
        <x:v>0</x:v>
      </x:c>
      <x:c r="BD163" s="22" t="n">
        <x:f>IFERROR(BC163*M163,0)</x:f>
        <x:v>0</x:v>
      </x:c>
      <x:c r="BE163" s="17" t="str">
        <x:v>mobile_funnel_behavior</x:v>
      </x:c>
      <x:c r="BF163" s="17" t="str">
        <x:v>inspired_by_uploaded_mobile_funnel_screenshot + copied_product_context</x:v>
      </x:c>
    </x:row>
    <x:row r="164">
      <x:c r="A164" s="17" t="n">
        <x:v>163</x:v>
      </x:c>
      <x:c r="B164" s="17" t="str">
        <x:v>MOBILE_EVENT_FUNNEL</x:v>
      </x:c>
      <x:c r="C164" s="20" t="n">
        <x:v>46150</x:v>
      </x:c>
      <x:c r="D164" s="17" t="str">
        <x:v>Mobile Web</x:v>
      </x:c>
      <x:c r="E164" s="17" t="str">
        <x:v>Mobile</x:v>
      </x:c>
      <x:c r="F164" s="17" t="str">
        <x:v>Social Paid</x:v>
      </x:c>
      <x:c r="G164" s="17" t="n">
        <x:v>28</x:v>
      </x:c>
      <x:c r="H164" s="17" t="str">
        <x:v>SAMSUNG</x:v>
      </x:c>
      <x:c r="I164" s="17" t="str">
        <x:v>Telefon</x:v>
      </x:c>
      <x:c r="J164" s="17" t="str">
        <x:v>Cep Telefonları</x:v>
      </x:c>
      <x:c r="K164" s="17" t="str">
        <x:v>SAMSUNG Galaxy S25 FE 5G 8/256 GB Akıllı Telefon Beyaz</x:v>
      </x:c>
      <x:c r="L164" s="17" t="str">
        <x:v>1249059</x:v>
      </x:c>
      <x:c r="M164" s="22" t="n">
        <x:v>59958</x:v>
      </x:c>
      <x:c r="N164" s="26" t="n">
        <x:v>3.4</x:v>
      </x:c>
      <x:c r="O164" s="22" t="n">
        <x:v>239</x:v>
      </x:c>
      <x:c r="P164" s="22" t="n">
        <x:v>299</x:v>
      </x:c>
      <x:c r="Q164" s="22" t="n">
        <x:v>0</x:v>
      </x:c>
      <x:c r="R164" s="17" t="n">
        <x:v>10</x:v>
      </x:c>
      <x:c r="S164" s="22" t="n">
        <x:v>26</x:v>
      </x:c>
      <x:c r="T164" s="24" t="n">
        <x:v>2</x:v>
      </x:c>
      <x:c r="U164" s="24" t="n">
        <x:f>IFERROR(O164/T164,0)</x:f>
        <x:v>119.5</x:v>
      </x:c>
      <x:c r="V164" s="17" t="str">
        <x:f>IF(O164&lt;=0,"out_of_stock",IF(U164&lt;7,"critical_low_stock",IF(U164&gt;60,"overstock","in_stock")))</x:f>
        <x:v>overstock</x:v>
      </x:c>
      <x:c r="W164" s="17" t="str">
        <x:f>IF(O164&lt;=0,"OOS",IF(AND(U164&lt;7,AC164&gt;=0.5),"High Risk",IF(U164&lt;14,"Medium Risk",IF(U164&gt;60,"Overstock","Healthy"))))</x:f>
        <x:v>Overstock</x:v>
      </x:c>
      <x:c r="X164" s="22" t="n">
        <x:v>460</x:v>
      </x:c>
      <x:c r="Y164" s="22" t="n">
        <x:v>50</x:v>
      </x:c>
      <x:c r="Z164" s="22" t="n">
        <x:v>10</x:v>
      </x:c>
      <x:c r="AA164" s="24" t="n">
        <x:f>IFERROR(Y164/X164*100,0)</x:f>
        <x:v>10.869565217391305</x:v>
      </x:c>
      <x:c r="AB164" s="26" t="n">
        <x:v>-63.3</x:v>
      </x:c>
      <x:c r="AC164" s="24" t="n">
        <x:f>IFERROR(Z164/X164*100,0)</x:f>
        <x:v>2.1739130434782608</x:v>
      </x:c>
      <x:c r="AD164" s="26" t="n">
        <x:v>-29.6</x:v>
      </x:c>
      <x:c r="AE164" s="22" t="n">
        <x:f>IFERROR(Z164*M164,0)</x:f>
        <x:v>599580</x:v>
      </x:c>
      <x:c r="AF164" s="26" t="n">
        <x:v>-23.5</x:v>
      </x:c>
      <x:c r="AG164" s="24" t="n">
        <x:v>46.6</x:v>
      </x:c>
      <x:c r="AH164" s="26" t="n">
        <x:v>12</x:v>
      </x:c>
      <x:c r="AI164" s="22" t="n">
        <x:v>39</x:v>
      </x:c>
      <x:c r="AJ164" s="22" t="n">
        <x:v>30</x:v>
      </x:c>
      <x:c r="AK164" s="22" t="n">
        <x:v>22</x:v>
      </x:c>
      <x:c r="AL164" s="22" t="n">
        <x:v>21</x:v>
      </x:c>
      <x:c r="AM164" s="22" t="n">
        <x:v>15</x:v>
      </x:c>
      <x:c r="AN164" s="24" t="n">
        <x:f>IFERROR(AI164/X164*100,0)</x:f>
        <x:v>8.478260869565217</x:v>
      </x:c>
      <x:c r="AO164" s="24" t="n">
        <x:f>IFERROR(AJ164/X164*100,0)</x:f>
        <x:v>6.521739130434782</x:v>
      </x:c>
      <x:c r="AP164" s="24" t="n">
        <x:f>IFERROR(AK164/X164*100,0)</x:f>
        <x:v>4.782608695652174</x:v>
      </x:c>
      <x:c r="AQ164" s="24" t="n">
        <x:f>IFERROR(AL164/X164*100,0)</x:f>
        <x:v>4.565217391304348</x:v>
      </x:c>
      <x:c r="AR164" s="24" t="n">
        <x:f>IFERROR(AM164/X164*100,0)</x:f>
        <x:v>3.260869565217391</x:v>
      </x:c>
      <x:c r="AS164" s="24" t="n">
        <x:f>IFERROR(Z164/X164*100,0)</x:f>
        <x:v>2.1739130434782608</x:v>
      </x:c>
      <x:c r="AT164" s="26" t="n">
        <x:v>-13.7</x:v>
      </x:c>
      <x:c r="AU164" s="26" t="n">
        <x:v>-63.3</x:v>
      </x:c>
      <x:c r="AV164" s="26" t="n">
        <x:v>-42.9</x:v>
      </x:c>
      <x:c r="AW164" s="26" t="n">
        <x:v>-10.1</x:v>
      </x:c>
      <x:c r="AX164" s="26" t="n">
        <x:v>21.6</x:v>
      </x:c>
      <x:c r="AY164" s="26" t="n">
        <x:v>3.2</x:v>
      </x:c>
      <x:c r="AZ164" s="26" t="n">
        <x:v>-1.1</x:v>
      </x:c>
      <x:c r="BA164" s="26" t="n">
        <x:v>-29.6</x:v>
      </x:c>
      <x:c r="BB164" s="22" t="n">
        <x:f>IFERROR(AE164/Z164,0)</x:f>
        <x:v>59958</x:v>
      </x:c>
      <x:c r="BC164" s="17" t="n">
        <x:f>IF(OR(V164="out_of_stock",V164="critical_low_stock"),MAX(0,(14-U164)*T164),0)</x:f>
        <x:v>0</x:v>
      </x:c>
      <x:c r="BD164" s="22" t="n">
        <x:f>IFERROR(BC164*M164,0)</x:f>
        <x:v>0</x:v>
      </x:c>
      <x:c r="BE164" s="17" t="str">
        <x:v>mobile_funnel_behavior</x:v>
      </x:c>
      <x:c r="BF164" s="17" t="str">
        <x:v>inspired_by_uploaded_mobile_funnel_screenshot + copied_product_context</x:v>
      </x:c>
    </x:row>
    <x:row r="165">
      <x:c r="A165" s="17" t="n">
        <x:v>164</x:v>
      </x:c>
      <x:c r="B165" s="17" t="str">
        <x:v>MOBILE_EVENT_FUNNEL</x:v>
      </x:c>
      <x:c r="C165" s="20" t="n">
        <x:v>46151</x:v>
      </x:c>
      <x:c r="D165" s="17" t="str">
        <x:v>Mobile Web</x:v>
      </x:c>
      <x:c r="E165" s="17" t="str">
        <x:v>Mobile</x:v>
      </x:c>
      <x:c r="F165" s="17" t="str">
        <x:v>CRM</x:v>
      </x:c>
      <x:c r="G165" s="17" t="n">
        <x:v>28</x:v>
      </x:c>
      <x:c r="H165" s="17" t="str">
        <x:v>XIAOMI</x:v>
      </x:c>
      <x:c r="I165" s="17" t="str">
        <x:v>Telefon</x:v>
      </x:c>
      <x:c r="J165" s="17" t="str">
        <x:v>Cep Telefonları</x:v>
      </x:c>
      <x:c r="K165" s="17" t="str">
        <x:v>XIAOMI Redmi 15C 8/256 GB Akıllı Telefon Siyah</x:v>
      </x:c>
      <x:c r="L165" s="17" t="str">
        <x:v>1248958</x:v>
      </x:c>
      <x:c r="M165" s="22" t="n">
        <x:v>25631</x:v>
      </x:c>
      <x:c r="N165" s="26" t="n">
        <x:v>0.4</x:v>
      </x:c>
      <x:c r="O165" s="22" t="n">
        <x:v>59</x:v>
      </x:c>
      <x:c r="P165" s="22" t="n">
        <x:v>40</x:v>
      </x:c>
      <x:c r="Q165" s="22" t="n">
        <x:v>0</x:v>
      </x:c>
      <x:c r="R165" s="17" t="n">
        <x:v>10</x:v>
      </x:c>
      <x:c r="S165" s="22" t="n">
        <x:v>7</x:v>
      </x:c>
      <x:c r="T165" s="24" t="n">
        <x:v>0.5</x:v>
      </x:c>
      <x:c r="U165" s="24" t="n">
        <x:f>IFERROR(O165/T165,0)</x:f>
        <x:v>118</x:v>
      </x:c>
      <x:c r="V165" s="17" t="str">
        <x:f>IF(O165&lt;=0,"out_of_stock",IF(U165&lt;7,"critical_low_stock",IF(U165&gt;60,"overstock","in_stock")))</x:f>
        <x:v>overstock</x:v>
      </x:c>
      <x:c r="W165" s="17" t="str">
        <x:f>IF(O165&lt;=0,"OOS",IF(AND(U165&lt;7,AC165&gt;=0.5),"High Risk",IF(U165&lt;14,"Medium Risk",IF(U165&gt;60,"Overstock","Healthy"))))</x:f>
        <x:v>Overstock</x:v>
      </x:c>
      <x:c r="X165" s="22" t="n">
        <x:v>448</x:v>
      </x:c>
      <x:c r="Y165" s="22" t="n">
        <x:v>43</x:v>
      </x:c>
      <x:c r="Z165" s="22" t="n">
        <x:v>1</x:v>
      </x:c>
      <x:c r="AA165" s="24" t="n">
        <x:f>IFERROR(Y165/X165*100,0)</x:f>
        <x:v>9.598214285714286</x:v>
      </x:c>
      <x:c r="AB165" s="26" t="n">
        <x:v>-90.5</x:v>
      </x:c>
      <x:c r="AC165" s="24" t="n">
        <x:f>IFERROR(Z165/X165*100,0)</x:f>
        <x:v>0.2232142857142857</x:v>
      </x:c>
      <x:c r="AD165" s="26" t="n">
        <x:v>-19.4</x:v>
      </x:c>
      <x:c r="AE165" s="22" t="n">
        <x:f>IFERROR(Z165*M165,0)</x:f>
        <x:v>25631</x:v>
      </x:c>
      <x:c r="AF165" s="26" t="n">
        <x:v>-18.9</x:v>
      </x:c>
      <x:c r="AG165" s="24" t="n">
        <x:v>63.9</x:v>
      </x:c>
      <x:c r="AH165" s="26" t="n">
        <x:v>-3</x:v>
      </x:c>
      <x:c r="AI165" s="22" t="n">
        <x:v>16</x:v>
      </x:c>
      <x:c r="AJ165" s="22" t="n">
        <x:v>6</x:v>
      </x:c>
      <x:c r="AK165" s="22" t="n">
        <x:v>3</x:v>
      </x:c>
      <x:c r="AL165" s="22" t="n">
        <x:v>3</x:v>
      </x:c>
      <x:c r="AM165" s="22" t="n">
        <x:v>2</x:v>
      </x:c>
      <x:c r="AN165" s="24" t="n">
        <x:f>IFERROR(AI165/X165*100,0)</x:f>
        <x:v>3.571428571428571</x:v>
      </x:c>
      <x:c r="AO165" s="24" t="n">
        <x:f>IFERROR(AJ165/X165*100,0)</x:f>
        <x:v>1.3392857142857142</x:v>
      </x:c>
      <x:c r="AP165" s="24" t="n">
        <x:f>IFERROR(AK165/X165*100,0)</x:f>
        <x:v>0.6696428571428571</x:v>
      </x:c>
      <x:c r="AQ165" s="24" t="n">
        <x:f>IFERROR(AL165/X165*100,0)</x:f>
        <x:v>0.6696428571428571</x:v>
      </x:c>
      <x:c r="AR165" s="24" t="n">
        <x:f>IFERROR(AM165/X165*100,0)</x:f>
        <x:v>0.4464285714285714</x:v>
      </x:c>
      <x:c r="AS165" s="24" t="n">
        <x:f>IFERROR(Z165/X165*100,0)</x:f>
        <x:v>0.2232142857142857</x:v>
      </x:c>
      <x:c r="AT165" s="26" t="n">
        <x:v>-7.6</x:v>
      </x:c>
      <x:c r="AU165" s="26" t="n">
        <x:v>-90.5</x:v>
      </x:c>
      <x:c r="AV165" s="26" t="n">
        <x:v>-50</x:v>
      </x:c>
      <x:c r="AW165" s="26" t="n">
        <x:v>-68.3</x:v>
      </x:c>
      <x:c r="AX165" s="26" t="n">
        <x:v>27.1</x:v>
      </x:c>
      <x:c r="AY165" s="26" t="n">
        <x:v>14.5</x:v>
      </x:c>
      <x:c r="AZ165" s="26" t="n">
        <x:v>-41.2</x:v>
      </x:c>
      <x:c r="BA165" s="26" t="n">
        <x:v>-19.4</x:v>
      </x:c>
      <x:c r="BB165" s="22" t="n">
        <x:f>IFERROR(AE165/Z165,0)</x:f>
        <x:v>25631</x:v>
      </x:c>
      <x:c r="BC165" s="17" t="n">
        <x:f>IF(OR(V165="out_of_stock",V165="critical_low_stock"),MAX(0,(14-U165)*T165),0)</x:f>
        <x:v>0</x:v>
      </x:c>
      <x:c r="BD165" s="22" t="n">
        <x:f>IFERROR(BC165*M165,0)</x:f>
        <x:v>0</x:v>
      </x:c>
      <x:c r="BE165" s="17" t="str">
        <x:v>mobile_funnel_behavior</x:v>
      </x:c>
      <x:c r="BF165" s="17" t="str">
        <x:v>inspired_by_uploaded_mobile_funnel_screenshot + copied_product_context</x:v>
      </x:c>
    </x:row>
    <x:row r="166">
      <x:c r="A166" s="17" t="n">
        <x:v>165</x:v>
      </x:c>
      <x:c r="B166" s="17" t="str">
        <x:v>MOBILE_EVENT_FUNNEL</x:v>
      </x:c>
      <x:c r="C166" s="20" t="n">
        <x:v>46152</x:v>
      </x:c>
      <x:c r="D166" s="17" t="str">
        <x:v>Mobile Web</x:v>
      </x:c>
      <x:c r="E166" s="17" t="str">
        <x:v>Mobile</x:v>
      </x:c>
      <x:c r="F166" s="17" t="str">
        <x:v>Affiliate</x:v>
      </x:c>
      <x:c r="G166" s="17" t="n">
        <x:v>28</x:v>
      </x:c>
      <x:c r="H166" s="17" t="str">
        <x:v>APPLE</x:v>
      </x:c>
      <x:c r="I166" s="17" t="str">
        <x:v>Telefon</x:v>
      </x:c>
      <x:c r="J166" s="17" t="str">
        <x:v>Cep Telefonları</x:v>
      </x:c>
      <x:c r="K166" s="17" t="str">
        <x:v>APPLE iPhone 15 128 GB Akıllı Telefon Siyah MTP03TU/A</x:v>
      </x:c>
      <x:c r="L166" s="17" t="str">
        <x:v>1232435</x:v>
      </x:c>
      <x:c r="M166" s="22" t="n">
        <x:v>37648</x:v>
      </x:c>
      <x:c r="N166" s="26" t="n">
        <x:v>-18.4</x:v>
      </x:c>
      <x:c r="O166" s="22" t="n">
        <x:v>10</x:v>
      </x:c>
      <x:c r="P166" s="22" t="n">
        <x:v>7</x:v>
      </x:c>
      <x:c r="Q166" s="22" t="n">
        <x:v>88</x:v>
      </x:c>
      <x:c r="R166" s="17" t="n">
        <x:v>14</x:v>
      </x:c>
      <x:c r="S166" s="22" t="n">
        <x:v>65</x:v>
      </x:c>
      <x:c r="T166" s="24" t="n">
        <x:v>3.8</x:v>
      </x:c>
      <x:c r="U166" s="24" t="n">
        <x:f>IFERROR(O166/T166,0)</x:f>
        <x:v>2.6315789473684212</x:v>
      </x:c>
      <x:c r="V166" s="17" t="str">
        <x:f>IF(O166&lt;=0,"out_of_stock",IF(U166&lt;7,"critical_low_stock",IF(U166&gt;60,"overstock","in_stock")))</x:f>
        <x:v>critical_low_stock</x:v>
      </x:c>
      <x:c r="W166" s="17" t="str">
        <x:f>IF(O166&lt;=0,"OOS",IF(AND(U166&lt;7,AC166&gt;=0.5),"High Risk",IF(U166&lt;14,"Medium Risk",IF(U166&gt;60,"Overstock","Healthy"))))</x:f>
        <x:v>Medium Risk</x:v>
      </x:c>
      <x:c r="X166" s="22" t="n">
        <x:v>4102</x:v>
      </x:c>
      <x:c r="Y166" s="22" t="n">
        <x:v>142</x:v>
      </x:c>
      <x:c r="Z166" s="22" t="n">
        <x:v>19</x:v>
      </x:c>
      <x:c r="AA166" s="24" t="n">
        <x:f>IFERROR(Y166/X166*100,0)</x:f>
        <x:v>3.461725987323257</x:v>
      </x:c>
      <x:c r="AB166" s="26" t="n">
        <x:v>-64.3</x:v>
      </x:c>
      <x:c r="AC166" s="24" t="n">
        <x:f>IFERROR(Z166/X166*100,0)</x:f>
        <x:v>0.46318868844466116</x:v>
      </x:c>
      <x:c r="AD166" s="26" t="n">
        <x:v>-45.4</x:v>
      </x:c>
      <x:c r="AE166" s="22" t="n">
        <x:f>IFERROR(Z166*M166,0)</x:f>
        <x:v>715312</x:v>
      </x:c>
      <x:c r="AF166" s="26" t="n">
        <x:v>-61.7</x:v>
      </x:c>
      <x:c r="AG166" s="24" t="n">
        <x:v>65.8</x:v>
      </x:c>
      <x:c r="AH166" s="26" t="n">
        <x:v>2.9</x:v>
      </x:c>
      <x:c r="AI166" s="22" t="n">
        <x:v>123</x:v>
      </x:c>
      <x:c r="AJ166" s="22" t="n">
        <x:v>88</x:v>
      </x:c>
      <x:c r="AK166" s="22" t="n">
        <x:v>60</x:v>
      </x:c>
      <x:c r="AL166" s="22" t="n">
        <x:v>50</x:v>
      </x:c>
      <x:c r="AM166" s="22" t="n">
        <x:v>43</x:v>
      </x:c>
      <x:c r="AN166" s="24" t="n">
        <x:f>IFERROR(AI166/X166*100,0)</x:f>
        <x:v>2.998537298878596</x:v>
      </x:c>
      <x:c r="AO166" s="24" t="n">
        <x:f>IFERROR(AJ166/X166*100,0)</x:f>
        <x:v>2.145294978059483</x:v>
      </x:c>
      <x:c r="AP166" s="24" t="n">
        <x:f>IFERROR(AK166/X166*100,0)</x:f>
        <x:v>1.462701121404193</x:v>
      </x:c>
      <x:c r="AQ166" s="24" t="n">
        <x:f>IFERROR(AL166/X166*100,0)</x:f>
        <x:v>1.218917601170161</x:v>
      </x:c>
      <x:c r="AR166" s="24" t="n">
        <x:f>IFERROR(AM166/X166*100,0)</x:f>
        <x:v>1.0482691370063384</x:v>
      </x:c>
      <x:c r="AS166" s="24" t="n">
        <x:f>IFERROR(Z166/X166*100,0)</x:f>
        <x:v>0.46318868844466116</x:v>
      </x:c>
      <x:c r="AT166" s="26" t="n">
        <x:v>-12.2</x:v>
      </x:c>
      <x:c r="AU166" s="26" t="n">
        <x:v>-64.3</x:v>
      </x:c>
      <x:c r="AV166" s="26" t="n">
        <x:v>-24.7</x:v>
      </x:c>
      <x:c r="AW166" s="26" t="n">
        <x:v>-4.8</x:v>
      </x:c>
      <x:c r="AX166" s="26" t="n">
        <x:v>-8.3</x:v>
      </x:c>
      <x:c r="AY166" s="26" t="n">
        <x:v>0.5</x:v>
      </x:c>
      <x:c r="AZ166" s="26" t="n">
        <x:v>-14.7</x:v>
      </x:c>
      <x:c r="BA166" s="26" t="n">
        <x:v>-45.4</x:v>
      </x:c>
      <x:c r="BB166" s="22" t="n">
        <x:f>IFERROR(AE166/Z166,0)</x:f>
        <x:v>37648</x:v>
      </x:c>
      <x:c r="BC166" s="17" t="n">
        <x:f>IF(OR(V166="out_of_stock",V166="critical_low_stock"),MAX(0,(14-U166)*T166),0)</x:f>
        <x:v>43.199999999999996</x:v>
      </x:c>
      <x:c r="BD166" s="22" t="n">
        <x:f>IFERROR(BC166*M166,0)</x:f>
        <x:v>1626393.5999999999</x:v>
      </x:c>
      <x:c r="BE166" s="17" t="str">
        <x:v>mobile_funnel_behavior</x:v>
      </x:c>
      <x:c r="BF166" s="17" t="str">
        <x:v>inspired_by_uploaded_mobile_funnel_screenshot + copied_product_context</x:v>
      </x:c>
    </x:row>
    <x:row r="167">
      <x:c r="A167" s="17" t="n">
        <x:v>166</x:v>
      </x:c>
      <x:c r="B167" s="17" t="str">
        <x:v>MOBILE_EVENT_FUNNEL</x:v>
      </x:c>
      <x:c r="C167" s="20" t="n">
        <x:v>46153</x:v>
      </x:c>
      <x:c r="D167" s="17" t="str">
        <x:v>Mobile Web</x:v>
      </x:c>
      <x:c r="E167" s="17" t="str">
        <x:v>Mobile</x:v>
      </x:c>
      <x:c r="F167" s="17" t="str">
        <x:v>Search Paid Brand</x:v>
      </x:c>
      <x:c r="G167" s="17" t="n">
        <x:v>21</x:v>
      </x:c>
      <x:c r="H167" s="17" t="str">
        <x:v>DJI</x:v>
      </x:c>
      <x:c r="I167" s="17" t="str">
        <x:v>Foto &amp; Kamera &amp; Drone</x:v>
      </x:c>
      <x:c r="J167" s="17" t="str">
        <x:v>Drone</x:v>
      </x:c>
      <x:c r="K167" s="17" t="str">
        <x:v>DJI Mini 4K Fly More Combo Drone</x:v>
      </x:c>
      <x:c r="L167" s="17" t="str">
        <x:v>1242925</x:v>
      </x:c>
      <x:c r="M167" s="22" t="n">
        <x:v>9501</x:v>
      </x:c>
      <x:c r="N167" s="26" t="n">
        <x:v>25.8</x:v>
      </x:c>
      <x:c r="O167" s="22" t="n">
        <x:v>2</x:v>
      </x:c>
      <x:c r="P167" s="22" t="n">
        <x:v>3</x:v>
      </x:c>
      <x:c r="Q167" s="22" t="n">
        <x:v>8</x:v>
      </x:c>
      <x:c r="R167" s="17" t="n">
        <x:v>5</x:v>
      </x:c>
      <x:c r="S167" s="22" t="n">
        <x:v>4</x:v>
      </x:c>
      <x:c r="T167" s="24" t="n">
        <x:v>0.4</x:v>
      </x:c>
      <x:c r="U167" s="24" t="n">
        <x:f>IFERROR(O167/T167,0)</x:f>
        <x:v>5</x:v>
      </x:c>
      <x:c r="V167" s="17" t="str">
        <x:f>IF(O167&lt;=0,"out_of_stock",IF(U167&lt;7,"critical_low_stock",IF(U167&gt;60,"overstock","in_stock")))</x:f>
        <x:v>critical_low_stock</x:v>
      </x:c>
      <x:c r="W167" s="17" t="str">
        <x:f>IF(O167&lt;=0,"OOS",IF(AND(U167&lt;7,AC167&gt;=0.5),"High Risk",IF(U167&lt;14,"Medium Risk",IF(U167&gt;60,"Overstock","Healthy"))))</x:f>
        <x:v>Medium Risk</x:v>
      </x:c>
      <x:c r="X167" s="22" t="n">
        <x:v>956</x:v>
      </x:c>
      <x:c r="Y167" s="22" t="n">
        <x:v>78</x:v>
      </x:c>
      <x:c r="Z167" s="22" t="n">
        <x:v>1</x:v>
      </x:c>
      <x:c r="AA167" s="24" t="n">
        <x:f>IFERROR(Y167/X167*100,0)</x:f>
        <x:v>8.158995815899582</x:v>
      </x:c>
      <x:c r="AB167" s="26" t="n">
        <x:v>-17.1</x:v>
      </x:c>
      <x:c r="AC167" s="24" t="n">
        <x:f>IFERROR(Z167/X167*100,0)</x:f>
        <x:v>0.10460251046025104</x:v>
      </x:c>
      <x:c r="AD167" s="26" t="n">
        <x:v>-50.7</x:v>
      </x:c>
      <x:c r="AE167" s="22" t="n">
        <x:f>IFERROR(Z167*M167,0)</x:f>
        <x:v>9501</x:v>
      </x:c>
      <x:c r="AF167" s="26" t="n">
        <x:v>-18</x:v>
      </x:c>
      <x:c r="AG167" s="24" t="n">
        <x:v>46.3</x:v>
      </x:c>
      <x:c r="AH167" s="26" t="n">
        <x:v>-5</x:v>
      </x:c>
      <x:c r="AI167" s="22" t="n">
        <x:v>41</x:v>
      </x:c>
      <x:c r="AJ167" s="22" t="n">
        <x:v>27</x:v>
      </x:c>
      <x:c r="AK167" s="22" t="n">
        <x:v>19</x:v>
      </x:c>
      <x:c r="AL167" s="22" t="n">
        <x:v>14</x:v>
      </x:c>
      <x:c r="AM167" s="22" t="n">
        <x:v>8</x:v>
      </x:c>
      <x:c r="AN167" s="24" t="n">
        <x:f>IFERROR(AI167/X167*100,0)</x:f>
        <x:v>4.288702928870293</x:v>
      </x:c>
      <x:c r="AO167" s="24" t="n">
        <x:f>IFERROR(AJ167/X167*100,0)</x:f>
        <x:v>2.8242677824267783</x:v>
      </x:c>
      <x:c r="AP167" s="24" t="n">
        <x:f>IFERROR(AK167/X167*100,0)</x:f>
        <x:v>1.9874476987447698</x:v>
      </x:c>
      <x:c r="AQ167" s="24" t="n">
        <x:f>IFERROR(AL167/X167*100,0)</x:f>
        <x:v>1.4644351464435146</x:v>
      </x:c>
      <x:c r="AR167" s="24" t="n">
        <x:f>IFERROR(AM167/X167*100,0)</x:f>
        <x:v>0.8368200836820083</x:v>
      </x:c>
      <x:c r="AS167" s="24" t="n">
        <x:f>IFERROR(Z167/X167*100,0)</x:f>
        <x:v>0.10460251046025104</x:v>
      </x:c>
      <x:c r="AT167" s="26" t="n">
        <x:v>-4.7</x:v>
      </x:c>
      <x:c r="AU167" s="26" t="n">
        <x:v>-17.1</x:v>
      </x:c>
      <x:c r="AV167" s="26" t="n">
        <x:v>-58.5</x:v>
      </x:c>
      <x:c r="AW167" s="26" t="n">
        <x:v>-54.1</x:v>
      </x:c>
      <x:c r="AX167" s="26" t="n">
        <x:v>-26</x:v>
      </x:c>
      <x:c r="AY167" s="26" t="n">
        <x:v>2.8</x:v>
      </x:c>
      <x:c r="AZ167" s="26" t="n">
        <x:v>-10</x:v>
      </x:c>
      <x:c r="BA167" s="26" t="n">
        <x:v>-50.7</x:v>
      </x:c>
      <x:c r="BB167" s="22" t="n">
        <x:f>IFERROR(AE167/Z167,0)</x:f>
        <x:v>9501</x:v>
      </x:c>
      <x:c r="BC167" s="17" t="n">
        <x:f>IF(OR(V167="out_of_stock",V167="critical_low_stock"),MAX(0,(14-U167)*T167),0)</x:f>
        <x:v>3.6</x:v>
      </x:c>
      <x:c r="BD167" s="22" t="n">
        <x:f>IFERROR(BC167*M167,0)</x:f>
        <x:v>34203.6</x:v>
      </x:c>
      <x:c r="BE167" s="17" t="str">
        <x:v>mobile_funnel_behavior</x:v>
      </x:c>
      <x:c r="BF167" s="17" t="str">
        <x:v>inspired_by_uploaded_mobile_funnel_screenshot + copied_product_context</x:v>
      </x:c>
    </x:row>
    <x:row r="168">
      <x:c r="A168" s="17" t="n">
        <x:v>167</x:v>
      </x:c>
      <x:c r="B168" s="17" t="str">
        <x:v>MOBILE_EVENT_FUNNEL</x:v>
      </x:c>
      <x:c r="C168" s="20" t="n">
        <x:v>46154</x:v>
      </x:c>
      <x:c r="D168" s="17" t="str">
        <x:v>Mobile Web</x:v>
      </x:c>
      <x:c r="E168" s="17" t="str">
        <x:v>Mobile</x:v>
      </x:c>
      <x:c r="F168" s="17" t="str">
        <x:v>Social Paid</x:v>
      </x:c>
      <x:c r="G168" s="17" t="n">
        <x:v>29</x:v>
      </x:c>
      <x:c r="H168" s="17" t="str">
        <x:v>APPLE</x:v>
      </x:c>
      <x:c r="I168" s="17" t="str">
        <x:v>Telefon</x:v>
      </x:c>
      <x:c r="J168" s="17" t="str">
        <x:v>Telefon Aksesuarları</x:v>
      </x:c>
      <x:c r="K168" s="17" t="str">
        <x:v>APPLE MD3J4TU/A 20W USB-C Güç Adaptörü</x:v>
      </x:c>
      <x:c r="L168" s="17" t="str">
        <x:v>1245474</x:v>
      </x:c>
      <x:c r="M168" s="22" t="n">
        <x:v>2042</x:v>
      </x:c>
      <x:c r="N168" s="26" t="n">
        <x:v>-7.6</x:v>
      </x:c>
      <x:c r="O168" s="22" t="n">
        <x:v>790</x:v>
      </x:c>
      <x:c r="P168" s="22" t="n">
        <x:v>336</x:v>
      </x:c>
      <x:c r="Q168" s="22" t="n">
        <x:v>0</x:v>
      </x:c>
      <x:c r="R168" s="17" t="n">
        <x:v>14</x:v>
      </x:c>
      <x:c r="S168" s="22" t="n">
        <x:v>6</x:v>
      </x:c>
      <x:c r="T168" s="24" t="n">
        <x:v>0.3</x:v>
      </x:c>
      <x:c r="U168" s="24" t="n">
        <x:f>IFERROR(O168/T168,0)</x:f>
        <x:v>2633.3333333333335</x:v>
      </x:c>
      <x:c r="V168" s="17" t="str">
        <x:f>IF(O168&lt;=0,"out_of_stock",IF(U168&lt;7,"critical_low_stock",IF(U168&gt;60,"overstock","in_stock")))</x:f>
        <x:v>overstock</x:v>
      </x:c>
      <x:c r="W168" s="17" t="str">
        <x:f>IF(O168&lt;=0,"OOS",IF(AND(U168&lt;7,AC168&gt;=0.5),"High Risk",IF(U168&lt;14,"Medium Risk",IF(U168&gt;60,"Overstock","Healthy"))))</x:f>
        <x:v>Overstock</x:v>
      </x:c>
      <x:c r="X168" s="22" t="n">
        <x:v>171</x:v>
      </x:c>
      <x:c r="Y168" s="22" t="n">
        <x:v>11</x:v>
      </x:c>
      <x:c r="Z168" s="22" t="n">
        <x:v>1</x:v>
      </x:c>
      <x:c r="AA168" s="24" t="n">
        <x:f>IFERROR(Y168/X168*100,0)</x:f>
        <x:v>6.432748538011696</x:v>
      </x:c>
      <x:c r="AB168" s="26" t="n">
        <x:v>-9.8</x:v>
      </x:c>
      <x:c r="AC168" s="24" t="n">
        <x:f>IFERROR(Z168/X168*100,0)</x:f>
        <x:v>0.5847953216374269</x:v>
      </x:c>
      <x:c r="AD168" s="26" t="n">
        <x:v>22.4</x:v>
      </x:c>
      <x:c r="AE168" s="22" t="n">
        <x:f>IFERROR(Z168*M168,0)</x:f>
        <x:v>2042</x:v>
      </x:c>
      <x:c r="AF168" s="26" t="n">
        <x:v>20.8</x:v>
      </x:c>
      <x:c r="AG168" s="24" t="n">
        <x:v>36.1</x:v>
      </x:c>
      <x:c r="AH168" s="26" t="n">
        <x:v>13.2</x:v>
      </x:c>
      <x:c r="AI168" s="22" t="n">
        <x:v>4</x:v>
      </x:c>
      <x:c r="AJ168" s="22" t="n">
        <x:v>1</x:v>
      </x:c>
      <x:c r="AK168" s="22" t="n">
        <x:v>1</x:v>
      </x:c>
      <x:c r="AL168" s="22" t="n">
        <x:v>1</x:v>
      </x:c>
      <x:c r="AM168" s="22" t="n">
        <x:v>1</x:v>
      </x:c>
      <x:c r="AN168" s="24" t="n">
        <x:f>IFERROR(AI168/X168*100,0)</x:f>
        <x:v>2.3391812865497075</x:v>
      </x:c>
      <x:c r="AO168" s="24" t="n">
        <x:f>IFERROR(AJ168/X168*100,0)</x:f>
        <x:v>0.5847953216374269</x:v>
      </x:c>
      <x:c r="AP168" s="24" t="n">
        <x:f>IFERROR(AK168/X168*100,0)</x:f>
        <x:v>0.5847953216374269</x:v>
      </x:c>
      <x:c r="AQ168" s="24" t="n">
        <x:f>IFERROR(AL168/X168*100,0)</x:f>
        <x:v>0.5847953216374269</x:v>
      </x:c>
      <x:c r="AR168" s="24" t="n">
        <x:f>IFERROR(AM168/X168*100,0)</x:f>
        <x:v>0.5847953216374269</x:v>
      </x:c>
      <x:c r="AS168" s="24" t="n">
        <x:f>IFERROR(Z168/X168*100,0)</x:f>
        <x:v>0.5847953216374269</x:v>
      </x:c>
      <x:c r="AT168" s="26" t="n">
        <x:v>29.7</x:v>
      </x:c>
      <x:c r="AU168" s="26" t="n">
        <x:v>-9.8</x:v>
      </x:c>
      <x:c r="AV168" s="26" t="n">
        <x:v>-28.3</x:v>
      </x:c>
      <x:c r="AW168" s="26" t="n">
        <x:v>-94.9</x:v>
      </x:c>
      <x:c r="AX168" s="26" t="n">
        <x:v>-1.1</x:v>
      </x:c>
      <x:c r="AY168" s="26" t="n">
        <x:v>-35.1</x:v>
      </x:c>
      <x:c r="AZ168" s="26" t="n">
        <x:v>-15.5</x:v>
      </x:c>
      <x:c r="BA168" s="26" t="n">
        <x:v>22.4</x:v>
      </x:c>
      <x:c r="BB168" s="22" t="n">
        <x:f>IFERROR(AE168/Z168,0)</x:f>
        <x:v>2042</x:v>
      </x:c>
      <x:c r="BC168" s="17" t="n">
        <x:f>IF(OR(V168="out_of_stock",V168="critical_low_stock"),MAX(0,(14-U168)*T168),0)</x:f>
        <x:v>0</x:v>
      </x:c>
      <x:c r="BD168" s="22" t="n">
        <x:f>IFERROR(BC168*M168,0)</x:f>
        <x:v>0</x:v>
      </x:c>
      <x:c r="BE168" s="17" t="str">
        <x:v>mobile_funnel_behavior</x:v>
      </x:c>
      <x:c r="BF168" s="17" t="str">
        <x:v>inspired_by_uploaded_mobile_funnel_screenshot + copied_product_context</x:v>
      </x:c>
    </x:row>
    <x:row r="169">
      <x:c r="A169" s="17" t="n">
        <x:v>168</x:v>
      </x:c>
      <x:c r="B169" s="17" t="str">
        <x:v>MOBILE_EVENT_FUNNEL</x:v>
      </x:c>
      <x:c r="C169" s="20" t="n">
        <x:v>46155</x:v>
      </x:c>
      <x:c r="D169" s="17" t="str">
        <x:v>Mobile Web</x:v>
      </x:c>
      <x:c r="E169" s="17" t="str">
        <x:v>Mobile</x:v>
      </x:c>
      <x:c r="F169" s="17" t="str">
        <x:v>Search Organic Brand</x:v>
      </x:c>
      <x:c r="G169" s="17" t="n">
        <x:v>32</x:v>
      </x:c>
      <x:c r="H169" s="17" t="str">
        <x:v>LG</x:v>
      </x:c>
      <x:c r="I169" s="17" t="str">
        <x:v>TV</x:v>
      </x:c>
      <x:c r="J169" s="17" t="str">
        <x:v>TV</x:v>
      </x:c>
      <x:c r="K169" s="17" t="str">
        <x:v>LG 65QNED70A6A 65 inç 165 Ekran Uydu Alıcılı AI Sihirli Kumanda HDR10 webOS25 AI 4K Smart QNED TV</x:v>
      </x:c>
      <x:c r="L169" s="17" t="str">
        <x:v>1248353</x:v>
      </x:c>
      <x:c r="M169" s="22" t="n">
        <x:v>50982</x:v>
      </x:c>
      <x:c r="N169" s="26" t="n">
        <x:v>-19.5</x:v>
      </x:c>
      <x:c r="O169" s="22" t="n">
        <x:v>9</x:v>
      </x:c>
      <x:c r="P169" s="22" t="n">
        <x:v>12</x:v>
      </x:c>
      <x:c r="Q169" s="22" t="n">
        <x:v>0</x:v>
      </x:c>
      <x:c r="R169" s="17" t="n">
        <x:v>5</x:v>
      </x:c>
      <x:c r="S169" s="22" t="n">
        <x:v>12</x:v>
      </x:c>
      <x:c r="T169" s="24" t="n">
        <x:v>1.5</x:v>
      </x:c>
      <x:c r="U169" s="24" t="n">
        <x:f>IFERROR(O169/T169,0)</x:f>
        <x:v>6</x:v>
      </x:c>
      <x:c r="V169" s="17" t="str">
        <x:f>IF(O169&lt;=0,"out_of_stock",IF(U169&lt;7,"critical_low_stock",IF(U169&gt;60,"overstock","in_stock")))</x:f>
        <x:v>critical_low_stock</x:v>
      </x:c>
      <x:c r="W169" s="17" t="str">
        <x:f>IF(O169&lt;=0,"OOS",IF(AND(U169&lt;7,AC169&gt;=0.5),"High Risk",IF(U169&lt;14,"Medium Risk",IF(U169&gt;60,"Overstock","Healthy"))))</x:f>
        <x:v>High Risk</x:v>
      </x:c>
      <x:c r="X169" s="22" t="n">
        <x:v>454</x:v>
      </x:c>
      <x:c r="Y169" s="22" t="n">
        <x:v>54</x:v>
      </x:c>
      <x:c r="Z169" s="22" t="n">
        <x:v>4</x:v>
      </x:c>
      <x:c r="AA169" s="24" t="n">
        <x:f>IFERROR(Y169/X169*100,0)</x:f>
        <x:v>11.894273127753303</x:v>
      </x:c>
      <x:c r="AB169" s="26" t="n">
        <x:v>-71.4</x:v>
      </x:c>
      <x:c r="AC169" s="24" t="n">
        <x:f>IFERROR(Z169/X169*100,0)</x:f>
        <x:v>0.881057268722467</x:v>
      </x:c>
      <x:c r="AD169" s="26" t="n">
        <x:v>10.8</x:v>
      </x:c>
      <x:c r="AE169" s="22" t="n">
        <x:f>IFERROR(Z169*M169,0)</x:f>
        <x:v>203928</x:v>
      </x:c>
      <x:c r="AF169" s="26" t="n">
        <x:v>-15</x:v>
      </x:c>
      <x:c r="AG169" s="24" t="n">
        <x:v>59.7</x:v>
      </x:c>
      <x:c r="AH169" s="26" t="n">
        <x:v>8.8</x:v>
      </x:c>
      <x:c r="AI169" s="22" t="n">
        <x:v>30</x:v>
      </x:c>
      <x:c r="AJ169" s="22" t="n">
        <x:v>23</x:v>
      </x:c>
      <x:c r="AK169" s="22" t="n">
        <x:v>21</x:v>
      </x:c>
      <x:c r="AL169" s="22" t="n">
        <x:v>16</x:v>
      </x:c>
      <x:c r="AM169" s="22" t="n">
        <x:v>11</x:v>
      </x:c>
      <x:c r="AN169" s="24" t="n">
        <x:f>IFERROR(AI169/X169*100,0)</x:f>
        <x:v>6.607929515418502</x:v>
      </x:c>
      <x:c r="AO169" s="24" t="n">
        <x:f>IFERROR(AJ169/X169*100,0)</x:f>
        <x:v>5.066079295154185</x:v>
      </x:c>
      <x:c r="AP169" s="24" t="n">
        <x:f>IFERROR(AK169/X169*100,0)</x:f>
        <x:v>4.6255506607929515</x:v>
      </x:c>
      <x:c r="AQ169" s="24" t="n">
        <x:f>IFERROR(AL169/X169*100,0)</x:f>
        <x:v>3.524229074889868</x:v>
      </x:c>
      <x:c r="AR169" s="24" t="n">
        <x:f>IFERROR(AM169/X169*100,0)</x:f>
        <x:v>2.4229074889867843</x:v>
      </x:c>
      <x:c r="AS169" s="24" t="n">
        <x:f>IFERROR(Z169/X169*100,0)</x:f>
        <x:v>0.881057268722467</x:v>
      </x:c>
      <x:c r="AT169" s="26" t="n">
        <x:v>6.2</x:v>
      </x:c>
      <x:c r="AU169" s="26" t="n">
        <x:v>-71.4</x:v>
      </x:c>
      <x:c r="AV169" s="26" t="n">
        <x:v>-59.4</x:v>
      </x:c>
      <x:c r="AW169" s="26" t="n">
        <x:v>-66.4</x:v>
      </x:c>
      <x:c r="AX169" s="26" t="n">
        <x:v>14.6</x:v>
      </x:c>
      <x:c r="AY169" s="26" t="n">
        <x:v>-15.3</x:v>
      </x:c>
      <x:c r="AZ169" s="26" t="n">
        <x:v>-6</x:v>
      </x:c>
      <x:c r="BA169" s="26" t="n">
        <x:v>10.8</x:v>
      </x:c>
      <x:c r="BB169" s="22" t="n">
        <x:f>IFERROR(AE169/Z169,0)</x:f>
        <x:v>50982</x:v>
      </x:c>
      <x:c r="BC169" s="17" t="n">
        <x:f>IF(OR(V169="out_of_stock",V169="critical_low_stock"),MAX(0,(14-U169)*T169),0)</x:f>
        <x:v>12</x:v>
      </x:c>
      <x:c r="BD169" s="22" t="n">
        <x:f>IFERROR(BC169*M169,0)</x:f>
        <x:v>611784</x:v>
      </x:c>
      <x:c r="BE169" s="17" t="str">
        <x:v>mobile_funnel_behavior</x:v>
      </x:c>
      <x:c r="BF169" s="17" t="str">
        <x:v>inspired_by_uploaded_mobile_funnel_screenshot + copied_product_context</x:v>
      </x:c>
    </x:row>
    <x:row r="170">
      <x:c r="A170" s="17" t="n">
        <x:v>169</x:v>
      </x:c>
      <x:c r="B170" s="17" t="str">
        <x:v>MOBILE_EVENT_FUNNEL</x:v>
      </x:c>
      <x:c r="C170" s="20" t="n">
        <x:v>46156</x:v>
      </x:c>
      <x:c r="D170" s="17" t="str">
        <x:v>Mobile Web</x:v>
      </x:c>
      <x:c r="E170" s="17" t="str">
        <x:v>Mobile</x:v>
      </x:c>
      <x:c r="F170" s="17" t="str">
        <x:v>Affiliate</x:v>
      </x:c>
      <x:c r="G170" s="17" t="n">
        <x:v>28</x:v>
      </x:c>
      <x:c r="H170" s="17" t="str">
        <x:v>APPLE</x:v>
      </x:c>
      <x:c r="I170" s="17" t="str">
        <x:v>Telefon</x:v>
      </x:c>
      <x:c r="J170" s="17" t="str">
        <x:v>Cep Telefonları</x:v>
      </x:c>
      <x:c r="K170" s="17" t="str">
        <x:v>APPLE iPhone 16 Pro Max 256 GB Akıllı Telefon Desert Titanium MYWX3TU/A</x:v>
      </x:c>
      <x:c r="L170" s="17" t="str">
        <x:v>1239591</x:v>
      </x:c>
      <x:c r="M170" s="22" t="n">
        <x:v>94244</x:v>
      </x:c>
      <x:c r="N170" s="26" t="n">
        <x:v>2.9</x:v>
      </x:c>
      <x:c r="O170" s="22" t="n">
        <x:v>9</x:v>
      </x:c>
      <x:c r="P170" s="22" t="n">
        <x:v>5</x:v>
      </x:c>
      <x:c r="Q170" s="22" t="n">
        <x:v>0</x:v>
      </x:c>
      <x:c r="R170" s="17" t="n">
        <x:v>3</x:v>
      </x:c>
      <x:c r="S170" s="22" t="n">
        <x:v>3</x:v>
      </x:c>
      <x:c r="T170" s="24" t="n">
        <x:v>0.5</x:v>
      </x:c>
      <x:c r="U170" s="24" t="n">
        <x:f>IFERROR(O170/T170,0)</x:f>
        <x:v>18</x:v>
      </x:c>
      <x:c r="V170" s="17" t="str">
        <x:f>IF(O170&lt;=0,"out_of_stock",IF(U170&lt;7,"critical_low_stock",IF(U170&gt;60,"overstock","in_stock")))</x:f>
        <x:v>in_stock</x:v>
      </x:c>
      <x:c r="W170" s="17" t="str">
        <x:f>IF(O170&lt;=0,"OOS",IF(AND(U170&lt;7,AC170&gt;=0.5),"High Risk",IF(U170&lt;14,"Medium Risk",IF(U170&gt;60,"Overstock","Healthy"))))</x:f>
        <x:v>Healthy</x:v>
      </x:c>
      <x:c r="X170" s="22" t="n">
        <x:v>349</x:v>
      </x:c>
      <x:c r="Y170" s="22" t="n">
        <x:v>23</x:v>
      </x:c>
      <x:c r="Z170" s="22" t="n">
        <x:v>1</x:v>
      </x:c>
      <x:c r="AA170" s="24" t="n">
        <x:f>IFERROR(Y170/X170*100,0)</x:f>
        <x:v>6.59025787965616</x:v>
      </x:c>
      <x:c r="AB170" s="26" t="n">
        <x:v>-57.6</x:v>
      </x:c>
      <x:c r="AC170" s="24" t="n">
        <x:f>IFERROR(Z170/X170*100,0)</x:f>
        <x:v>0.28653295128939826</x:v>
      </x:c>
      <x:c r="AD170" s="26" t="n">
        <x:v>-42</x:v>
      </x:c>
      <x:c r="AE170" s="22" t="n">
        <x:f>IFERROR(Z170*M170,0)</x:f>
        <x:v>94244</x:v>
      </x:c>
      <x:c r="AF170" s="26" t="n">
        <x:v>-38.7</x:v>
      </x:c>
      <x:c r="AG170" s="24" t="n">
        <x:v>62.1</x:v>
      </x:c>
      <x:c r="AH170" s="26" t="n">
        <x:v>8.3</x:v>
      </x:c>
      <x:c r="AI170" s="22" t="n">
        <x:v>13</x:v>
      </x:c>
      <x:c r="AJ170" s="22" t="n">
        <x:v>8</x:v>
      </x:c>
      <x:c r="AK170" s="22" t="n">
        <x:v>4</x:v>
      </x:c>
      <x:c r="AL170" s="22" t="n">
        <x:v>3</x:v>
      </x:c>
      <x:c r="AM170" s="22" t="n">
        <x:v>2</x:v>
      </x:c>
      <x:c r="AN170" s="24" t="n">
        <x:f>IFERROR(AI170/X170*100,0)</x:f>
        <x:v>3.7249283667621778</x:v>
      </x:c>
      <x:c r="AO170" s="24" t="n">
        <x:f>IFERROR(AJ170/X170*100,0)</x:f>
        <x:v>2.292263610315186</x:v>
      </x:c>
      <x:c r="AP170" s="24" t="n">
        <x:f>IFERROR(AK170/X170*100,0)</x:f>
        <x:v>1.146131805157593</x:v>
      </x:c>
      <x:c r="AQ170" s="24" t="n">
        <x:f>IFERROR(AL170/X170*100,0)</x:f>
        <x:v>0.8595988538681949</x:v>
      </x:c>
      <x:c r="AR170" s="24" t="n">
        <x:f>IFERROR(AM170/X170*100,0)</x:f>
        <x:v>0.5730659025787965</x:v>
      </x:c>
      <x:c r="AS170" s="24" t="n">
        <x:f>IFERROR(Z170/X170*100,0)</x:f>
        <x:v>0.28653295128939826</x:v>
      </x:c>
      <x:c r="AT170" s="26" t="n">
        <x:v>12.6</x:v>
      </x:c>
      <x:c r="AU170" s="26" t="n">
        <x:v>-57.6</x:v>
      </x:c>
      <x:c r="AV170" s="26" t="n">
        <x:v>-17.2</x:v>
      </x:c>
      <x:c r="AW170" s="26" t="n">
        <x:v>-71.7</x:v>
      </x:c>
      <x:c r="AX170" s="26" t="n">
        <x:v>25.3</x:v>
      </x:c>
      <x:c r="AY170" s="26" t="n">
        <x:v>0.5</x:v>
      </x:c>
      <x:c r="AZ170" s="26" t="n">
        <x:v>-62.6</x:v>
      </x:c>
      <x:c r="BA170" s="26" t="n">
        <x:v>-42</x:v>
      </x:c>
      <x:c r="BB170" s="22" t="n">
        <x:f>IFERROR(AE170/Z170,0)</x:f>
        <x:v>94244</x:v>
      </x:c>
      <x:c r="BC170" s="17" t="n">
        <x:f>IF(OR(V170="out_of_stock",V170="critical_low_stock"),MAX(0,(14-U170)*T170),0)</x:f>
        <x:v>0</x:v>
      </x:c>
      <x:c r="BD170" s="22" t="n">
        <x:f>IFERROR(BC170*M170,0)</x:f>
        <x:v>0</x:v>
      </x:c>
      <x:c r="BE170" s="17" t="str">
        <x:v>mobile_funnel_behavior</x:v>
      </x:c>
      <x:c r="BF170" s="17" t="str">
        <x:v>inspired_by_uploaded_mobile_funnel_screenshot + copied_product_context</x:v>
      </x:c>
    </x:row>
    <x:row r="171">
      <x:c r="A171" s="17" t="n">
        <x:v>170</x:v>
      </x:c>
      <x:c r="B171" s="17" t="str">
        <x:v>MOBILE_EVENT_FUNNEL</x:v>
      </x:c>
      <x:c r="C171" s="20" t="n">
        <x:v>46143</x:v>
      </x:c>
      <x:c r="D171" s="17" t="str">
        <x:v>Mobile Web</x:v>
      </x:c>
      <x:c r="E171" s="17" t="str">
        <x:v>Mobile</x:v>
      </x:c>
      <x:c r="F171" s="17" t="str">
        <x:v>Price Comparison</x:v>
      </x:c>
      <x:c r="G171" s="17" t="n">
        <x:v>7</x:v>
      </x:c>
      <x:c r="H171" s="17" t="str">
        <x:v>APPLE</x:v>
      </x:c>
      <x:c r="I171" s="17" t="str">
        <x:v>Telefon</x:v>
      </x:c>
      <x:c r="J171" s="17" t="str">
        <x:v>Kulaklıklar</x:v>
      </x:c>
      <x:c r="K171" s="17" t="str">
        <x:v>APPLE Airpods Pro 3 Bluetooth Kulak İçi Kulaklık MFHP4TU/A</x:v>
      </x:c>
      <x:c r="L171" s="17" t="str">
        <x:v>1249259</x:v>
      </x:c>
      <x:c r="M171" s="22" t="n">
        <x:v>11973</x:v>
      </x:c>
      <x:c r="N171" s="26" t="n">
        <x:v>-12.9</x:v>
      </x:c>
      <x:c r="O171" s="22" t="n">
        <x:v>50</x:v>
      </x:c>
      <x:c r="P171" s="22" t="n">
        <x:v>63</x:v>
      </x:c>
      <x:c r="Q171" s="22" t="n">
        <x:v>0</x:v>
      </x:c>
      <x:c r="R171" s="17" t="n">
        <x:v>21</x:v>
      </x:c>
      <x:c r="S171" s="22" t="n">
        <x:v>27</x:v>
      </x:c>
      <x:c r="T171" s="24" t="n">
        <x:v>1.1</x:v>
      </x:c>
      <x:c r="U171" s="24" t="n">
        <x:f>IFERROR(O171/T171,0)</x:f>
        <x:v>45.45454545454545</x:v>
      </x:c>
      <x:c r="V171" s="17" t="str">
        <x:f>IF(O171&lt;=0,"out_of_stock",IF(U171&lt;7,"critical_low_stock",IF(U171&gt;60,"overstock","in_stock")))</x:f>
        <x:v>in_stock</x:v>
      </x:c>
      <x:c r="W171" s="17" t="str">
        <x:f>IF(O171&lt;=0,"OOS",IF(AND(U171&lt;7,AC171&gt;=0.5),"High Risk",IF(U171&lt;14,"Medium Risk",IF(U171&gt;60,"Overstock","Healthy"))))</x:f>
        <x:v>Healthy</x:v>
      </x:c>
      <x:c r="X171" s="22" t="n">
        <x:v>1108</x:v>
      </x:c>
      <x:c r="Y171" s="22" t="n">
        <x:v>90</x:v>
      </x:c>
      <x:c r="Z171" s="22" t="n">
        <x:v>2</x:v>
      </x:c>
      <x:c r="AA171" s="24" t="n">
        <x:f>IFERROR(Y171/X171*100,0)</x:f>
        <x:v>8.12274368231047</x:v>
      </x:c>
      <x:c r="AB171" s="26" t="n">
        <x:v>-21.9</x:v>
      </x:c>
      <x:c r="AC171" s="24" t="n">
        <x:f>IFERROR(Z171/X171*100,0)</x:f>
        <x:v>0.18050541516245489</x:v>
      </x:c>
      <x:c r="AD171" s="26" t="n">
        <x:v>30.2</x:v>
      </x:c>
      <x:c r="AE171" s="22" t="n">
        <x:f>IFERROR(Z171*M171,0)</x:f>
        <x:v>23946</x:v>
      </x:c>
      <x:c r="AF171" s="26" t="n">
        <x:v>26.2</x:v>
      </x:c>
      <x:c r="AG171" s="24" t="n">
        <x:v>35.3</x:v>
      </x:c>
      <x:c r="AH171" s="26" t="n">
        <x:v>9.4</x:v>
      </x:c>
      <x:c r="AI171" s="22" t="n">
        <x:v>36</x:v>
      </x:c>
      <x:c r="AJ171" s="22" t="n">
        <x:v>15</x:v>
      </x:c>
      <x:c r="AK171" s="22" t="n">
        <x:v>8</x:v>
      </x:c>
      <x:c r="AL171" s="22" t="n">
        <x:v>6</x:v>
      </x:c>
      <x:c r="AM171" s="22" t="n">
        <x:v>4</x:v>
      </x:c>
      <x:c r="AN171" s="24" t="n">
        <x:f>IFERROR(AI171/X171*100,0)</x:f>
        <x:v>3.2490974729241873</x:v>
      </x:c>
      <x:c r="AO171" s="24" t="n">
        <x:f>IFERROR(AJ171/X171*100,0)</x:f>
        <x:v>1.3537906137184115</x:v>
      </x:c>
      <x:c r="AP171" s="24" t="n">
        <x:f>IFERROR(AK171/X171*100,0)</x:f>
        <x:v>0.7220216606498195</x:v>
      </x:c>
      <x:c r="AQ171" s="24" t="n">
        <x:f>IFERROR(AL171/X171*100,0)</x:f>
        <x:v>0.5415162454873645</x:v>
      </x:c>
      <x:c r="AR171" s="24" t="n">
        <x:f>IFERROR(AM171/X171*100,0)</x:f>
        <x:v>0.36101083032490977</x:v>
      </x:c>
      <x:c r="AS171" s="24" t="n">
        <x:f>IFERROR(Z171/X171*100,0)</x:f>
        <x:v>0.18050541516245489</x:v>
      </x:c>
      <x:c r="AT171" s="26" t="n">
        <x:v>-25</x:v>
      </x:c>
      <x:c r="AU171" s="26" t="n">
        <x:v>-21.9</x:v>
      </x:c>
      <x:c r="AV171" s="26" t="n">
        <x:v>-51.3</x:v>
      </x:c>
      <x:c r="AW171" s="26" t="n">
        <x:v>-62.4</x:v>
      </x:c>
      <x:c r="AX171" s="26" t="n">
        <x:v>26.4</x:v>
      </x:c>
      <x:c r="AY171" s="26" t="n">
        <x:v>-19</x:v>
      </x:c>
      <x:c r="AZ171" s="26" t="n">
        <x:v>-35.3</x:v>
      </x:c>
      <x:c r="BA171" s="26" t="n">
        <x:v>30.2</x:v>
      </x:c>
      <x:c r="BB171" s="22" t="n">
        <x:f>IFERROR(AE171/Z171,0)</x:f>
        <x:v>11973</x:v>
      </x:c>
      <x:c r="BC171" s="17" t="n">
        <x:f>IF(OR(V171="out_of_stock",V171="critical_low_stock"),MAX(0,(14-U171)*T171),0)</x:f>
        <x:v>0</x:v>
      </x:c>
      <x:c r="BD171" s="22" t="n">
        <x:f>IFERROR(BC171*M171,0)</x:f>
        <x:v>0</x:v>
      </x:c>
      <x:c r="BE171" s="17" t="str">
        <x:v>mobile_funnel_behavior</x:v>
      </x:c>
      <x:c r="BF171" s="17" t="str">
        <x:v>inspired_by_uploaded_mobile_funnel_screenshot + copied_product_context</x:v>
      </x:c>
    </x:row>
    <x:row r="172">
      <x:c r="A172" s="17" t="n">
        <x:v>171</x:v>
      </x:c>
      <x:c r="B172" s="17" t="str">
        <x:v>MOBILE_EVENT_FUNNEL</x:v>
      </x:c>
      <x:c r="C172" s="20" t="n">
        <x:v>46144</x:v>
      </x:c>
      <x:c r="D172" s="17" t="str">
        <x:v>Mobile Web</x:v>
      </x:c>
      <x:c r="E172" s="17" t="str">
        <x:v>Mobile</x:v>
      </x:c>
      <x:c r="F172" s="17" t="str">
        <x:v>Price Comparison</x:v>
      </x:c>
      <x:c r="G172" s="17" t="n">
        <x:v>24</x:v>
      </x:c>
      <x:c r="H172" s="17" t="str">
        <x:v>APPLE</x:v>
      </x:c>
      <x:c r="I172" s="17" t="str">
        <x:v>Bilgisayar</x:v>
      </x:c>
      <x:c r="J172" s="17" t="str">
        <x:v>Tabletler</x:v>
      </x:c>
      <x:c r="K172" s="17" t="str">
        <x:v>APPLE iPad (A16) Wi-Fi 128 GB Tablet Pembe MD4E4TU/A</x:v>
      </x:c>
      <x:c r="L172" s="17" t="str">
        <x:v>1245608</x:v>
      </x:c>
      <x:c r="M172" s="22" t="n">
        <x:v>36668</x:v>
      </x:c>
      <x:c r="N172" s="26" t="n">
        <x:v>-6.7</x:v>
      </x:c>
      <x:c r="O172" s="22" t="n">
        <x:v>15</x:v>
      </x:c>
      <x:c r="P172" s="22" t="n">
        <x:v>21</x:v>
      </x:c>
      <x:c r="Q172" s="22" t="n">
        <x:v>0</x:v>
      </x:c>
      <x:c r="R172" s="17" t="n">
        <x:v>5</x:v>
      </x:c>
      <x:c r="S172" s="22" t="n">
        <x:v>8</x:v>
      </x:c>
      <x:c r="T172" s="24" t="n">
        <x:v>0.9</x:v>
      </x:c>
      <x:c r="U172" s="24" t="n">
        <x:f>IFERROR(O172/T172,0)</x:f>
        <x:v>16.666666666666668</x:v>
      </x:c>
      <x:c r="V172" s="17" t="str">
        <x:f>IF(O172&lt;=0,"out_of_stock",IF(U172&lt;7,"critical_low_stock",IF(U172&gt;60,"overstock","in_stock")))</x:f>
        <x:v>in_stock</x:v>
      </x:c>
      <x:c r="W172" s="17" t="str">
        <x:f>IF(O172&lt;=0,"OOS",IF(AND(U172&lt;7,AC172&gt;=0.5),"High Risk",IF(U172&lt;14,"Medium Risk",IF(U172&gt;60,"Overstock","Healthy"))))</x:f>
        <x:v>Healthy</x:v>
      </x:c>
      <x:c r="X172" s="22" t="n">
        <x:v>734</x:v>
      </x:c>
      <x:c r="Y172" s="22" t="n">
        <x:v>42</x:v>
      </x:c>
      <x:c r="Z172" s="22" t="n">
        <x:v>4</x:v>
      </x:c>
      <x:c r="AA172" s="24" t="n">
        <x:f>IFERROR(Y172/X172*100,0)</x:f>
        <x:v>5.722070844686648</x:v>
      </x:c>
      <x:c r="AB172" s="26" t="n">
        <x:v>-47.3</x:v>
      </x:c>
      <x:c r="AC172" s="24" t="n">
        <x:f>IFERROR(Z172/X172*100,0)</x:f>
        <x:v>0.544959128065395</x:v>
      </x:c>
      <x:c r="AD172" s="26" t="n">
        <x:v>-47.5</x:v>
      </x:c>
      <x:c r="AE172" s="22" t="n">
        <x:f>IFERROR(Z172*M172,0)</x:f>
        <x:v>146672</x:v>
      </x:c>
      <x:c r="AF172" s="26" t="n">
        <x:v>-47.6</x:v>
      </x:c>
      <x:c r="AG172" s="24" t="n">
        <x:v>69</x:v>
      </x:c>
      <x:c r="AH172" s="26" t="n">
        <x:v>12.1</x:v>
      </x:c>
      <x:c r="AI172" s="22" t="n">
        <x:v>36</x:v>
      </x:c>
      <x:c r="AJ172" s="22" t="n">
        <x:v>26</x:v>
      </x:c>
      <x:c r="AK172" s="22" t="n">
        <x:v>16</x:v>
      </x:c>
      <x:c r="AL172" s="22" t="n">
        <x:v>15</x:v>
      </x:c>
      <x:c r="AM172" s="22" t="n">
        <x:v>10</x:v>
      </x:c>
      <x:c r="AN172" s="24" t="n">
        <x:f>IFERROR(AI172/X172*100,0)</x:f>
        <x:v>4.904632152588556</x:v>
      </x:c>
      <x:c r="AO172" s="24" t="n">
        <x:f>IFERROR(AJ172/X172*100,0)</x:f>
        <x:v>3.5422343324250685</x:v>
      </x:c>
      <x:c r="AP172" s="24" t="n">
        <x:f>IFERROR(AK172/X172*100,0)</x:f>
        <x:v>2.17983651226158</x:v>
      </x:c>
      <x:c r="AQ172" s="24" t="n">
        <x:f>IFERROR(AL172/X172*100,0)</x:f>
        <x:v>2.043596730245232</x:v>
      </x:c>
      <x:c r="AR172" s="24" t="n">
        <x:f>IFERROR(AM172/X172*100,0)</x:f>
        <x:v>1.3623978201634876</x:v>
      </x:c>
      <x:c r="AS172" s="24" t="n">
        <x:f>IFERROR(Z172/X172*100,0)</x:f>
        <x:v>0.544959128065395</x:v>
      </x:c>
      <x:c r="AT172" s="26" t="n">
        <x:v>-15</x:v>
      </x:c>
      <x:c r="AU172" s="26" t="n">
        <x:v>-47.3</x:v>
      </x:c>
      <x:c r="AV172" s="26" t="n">
        <x:v>-16.4</x:v>
      </x:c>
      <x:c r="AW172" s="26" t="n">
        <x:v>6</x:v>
      </x:c>
      <x:c r="AX172" s="26" t="n">
        <x:v>6.3</x:v>
      </x:c>
      <x:c r="AY172" s="26" t="n">
        <x:v>14.6</x:v>
      </x:c>
      <x:c r="AZ172" s="26" t="n">
        <x:v>-11.7</x:v>
      </x:c>
      <x:c r="BA172" s="26" t="n">
        <x:v>-47.5</x:v>
      </x:c>
      <x:c r="BB172" s="22" t="n">
        <x:f>IFERROR(AE172/Z172,0)</x:f>
        <x:v>36668</x:v>
      </x:c>
      <x:c r="BC172" s="17" t="n">
        <x:f>IF(OR(V172="out_of_stock",V172="critical_low_stock"),MAX(0,(14-U172)*T172),0)</x:f>
        <x:v>0</x:v>
      </x:c>
      <x:c r="BD172" s="22" t="n">
        <x:f>IFERROR(BC172*M172,0)</x:f>
        <x:v>0</x:v>
      </x:c>
      <x:c r="BE172" s="17" t="str">
        <x:v>mobile_funnel_behavior</x:v>
      </x:c>
      <x:c r="BF172" s="17" t="str">
        <x:v>inspired_by_uploaded_mobile_funnel_screenshot + copied_product_context</x:v>
      </x:c>
    </x:row>
    <x:row r="173">
      <x:c r="A173" s="17" t="n">
        <x:v>172</x:v>
      </x:c>
      <x:c r="B173" s="17" t="str">
        <x:v>MOBILE_EVENT_FUNNEL</x:v>
      </x:c>
      <x:c r="C173" s="20" t="n">
        <x:v>46145</x:v>
      </x:c>
      <x:c r="D173" s="17" t="str">
        <x:v>Mobile Web</x:v>
      </x:c>
      <x:c r="E173" s="17" t="str">
        <x:v>Mobile</x:v>
      </x:c>
      <x:c r="F173" s="17" t="str">
        <x:v>Social Paid</x:v>
      </x:c>
      <x:c r="G173" s="17" t="n">
        <x:v>28</x:v>
      </x:c>
      <x:c r="H173" s="17" t="str">
        <x:v>SAMSUNG</x:v>
      </x:c>
      <x:c r="I173" s="17" t="str">
        <x:v>Telefon</x:v>
      </x:c>
      <x:c r="J173" s="17" t="str">
        <x:v>Cep Telefonları</x:v>
      </x:c>
      <x:c r="K173" s="17" t="str">
        <x:v>SAMSUNG Galaxy A56 5G 8/256GB Akıllı Telefon Antrasit</x:v>
      </x:c>
      <x:c r="L173" s="17" t="str">
        <x:v>1245807</x:v>
      </x:c>
      <x:c r="M173" s="22" t="n">
        <x:v>63152</x:v>
      </x:c>
      <x:c r="N173" s="26" t="n">
        <x:v>-12.3</x:v>
      </x:c>
      <x:c r="O173" s="22" t="n">
        <x:v>132</x:v>
      </x:c>
      <x:c r="P173" s="22" t="n">
        <x:v>100</x:v>
      </x:c>
      <x:c r="Q173" s="22" t="n">
        <x:v>0</x:v>
      </x:c>
      <x:c r="R173" s="17" t="n">
        <x:v>10</x:v>
      </x:c>
      <x:c r="S173" s="22" t="n">
        <x:v>19</x:v>
      </x:c>
      <x:c r="T173" s="24" t="n">
        <x:v>1.4</x:v>
      </x:c>
      <x:c r="U173" s="24" t="n">
        <x:f>IFERROR(O173/T173,0)</x:f>
        <x:v>94.28571428571429</x:v>
      </x:c>
      <x:c r="V173" s="17" t="str">
        <x:f>IF(O173&lt;=0,"out_of_stock",IF(U173&lt;7,"critical_low_stock",IF(U173&gt;60,"overstock","in_stock")))</x:f>
        <x:v>overstock</x:v>
      </x:c>
      <x:c r="W173" s="17" t="str">
        <x:f>IF(O173&lt;=0,"OOS",IF(AND(U173&lt;7,AC173&gt;=0.5),"High Risk",IF(U173&lt;14,"Medium Risk",IF(U173&gt;60,"Overstock","Healthy"))))</x:f>
        <x:v>Overstock</x:v>
      </x:c>
      <x:c r="X173" s="22" t="n">
        <x:v>565</x:v>
      </x:c>
      <x:c r="Y173" s="22" t="n">
        <x:v>14</x:v>
      </x:c>
      <x:c r="Z173" s="22" t="n">
        <x:v>0</x:v>
      </x:c>
      <x:c r="AA173" s="24" t="n">
        <x:f>IFERROR(Y173/X173*100,0)</x:f>
        <x:v>2.47787610619469</x:v>
      </x:c>
      <x:c r="AB173" s="26" t="n">
        <x:v>-71.5</x:v>
      </x:c>
      <x:c r="AC173" s="24" t="n">
        <x:f>IFERROR(Z173/X173*100,0)</x:f>
        <x:v>0</x:v>
      </x:c>
      <x:c r="AD173" s="26" t="n">
        <x:v>0.3</x:v>
      </x:c>
      <x:c r="AE173" s="22" t="n">
        <x:f>IFERROR(Z173*M173,0)</x:f>
        <x:v>0</x:v>
      </x:c>
      <x:c r="AF173" s="26" t="n">
        <x:v>-19.9</x:v>
      </x:c>
      <x:c r="AG173" s="24" t="n">
        <x:v>50.2</x:v>
      </x:c>
      <x:c r="AH173" s="26" t="n">
        <x:v>-7.6</x:v>
      </x:c>
      <x:c r="AI173" s="22" t="n">
        <x:v>5</x:v>
      </x:c>
      <x:c r="AJ173" s="22" t="n">
        <x:v>1</x:v>
      </x:c>
      <x:c r="AK173" s="22" t="n">
        <x:v>0</x:v>
      </x:c>
      <x:c r="AL173" s="22" t="n">
        <x:v>0</x:v>
      </x:c>
      <x:c r="AM173" s="22" t="n">
        <x:v>0</x:v>
      </x:c>
      <x:c r="AN173" s="24" t="n">
        <x:f>IFERROR(AI173/X173*100,0)</x:f>
        <x:v>0.8849557522123894</x:v>
      </x:c>
      <x:c r="AO173" s="24" t="n">
        <x:f>IFERROR(AJ173/X173*100,0)</x:f>
        <x:v>0.17699115044247787</x:v>
      </x:c>
      <x:c r="AP173" s="24" t="n">
        <x:f>IFERROR(AK173/X173*100,0)</x:f>
        <x:v>0</x:v>
      </x:c>
      <x:c r="AQ173" s="24" t="n">
        <x:f>IFERROR(AL173/X173*100,0)</x:f>
        <x:v>0</x:v>
      </x:c>
      <x:c r="AR173" s="24" t="n">
        <x:f>IFERROR(AM173/X173*100,0)</x:f>
        <x:v>0</x:v>
      </x:c>
      <x:c r="AS173" s="24" t="n">
        <x:f>IFERROR(Z173/X173*100,0)</x:f>
        <x:v>0</x:v>
      </x:c>
      <x:c r="AT173" s="26" t="n">
        <x:v>-3</x:v>
      </x:c>
      <x:c r="AU173" s="26" t="n">
        <x:v>-71.5</x:v>
      </x:c>
      <x:c r="AV173" s="26" t="n">
        <x:v>-55.9</x:v>
      </x:c>
      <x:c r="AW173" s="26" t="n">
        <x:v>-69.1</x:v>
      </x:c>
      <x:c r="AX173" s="26" t="n">
        <x:v>-24</x:v>
      </x:c>
      <x:c r="AY173" s="26" t="n">
        <x:v>-26.3</x:v>
      </x:c>
      <x:c r="AZ173" s="26" t="n">
        <x:v>19.1</x:v>
      </x:c>
      <x:c r="BA173" s="26" t="n">
        <x:v>0.3</x:v>
      </x:c>
      <x:c r="BB173" s="22" t="n">
        <x:f>IFERROR(AE173/Z173,0)</x:f>
        <x:v>0</x:v>
      </x:c>
      <x:c r="BC173" s="17" t="n">
        <x:f>IF(OR(V173="out_of_stock",V173="critical_low_stock"),MAX(0,(14-U173)*T173),0)</x:f>
        <x:v>0</x:v>
      </x:c>
      <x:c r="BD173" s="22" t="n">
        <x:f>IFERROR(BC173*M173,0)</x:f>
        <x:v>0</x:v>
      </x:c>
      <x:c r="BE173" s="17" t="str">
        <x:v>mobile_funnel_behavior</x:v>
      </x:c>
      <x:c r="BF173" s="17" t="str">
        <x:v>inspired_by_uploaded_mobile_funnel_screenshot + copied_product_context</x:v>
      </x:c>
    </x:row>
    <x:row r="174">
      <x:c r="A174" s="17" t="n">
        <x:v>173</x:v>
      </x:c>
      <x:c r="B174" s="17" t="str">
        <x:v>MOBILE_EVENT_FUNNEL</x:v>
      </x:c>
      <x:c r="C174" s="20" t="n">
        <x:v>46146</x:v>
      </x:c>
      <x:c r="D174" s="17" t="str">
        <x:v>Mobile Web</x:v>
      </x:c>
      <x:c r="E174" s="17" t="str">
        <x:v>Mobile</x:v>
      </x:c>
      <x:c r="F174" s="17" t="str">
        <x:v>Price Comparison</x:v>
      </x:c>
      <x:c r="G174" s="17" t="n">
        <x:v>99</x:v>
      </x:c>
      <x:c r="H174" s="17" t="str">
        <x:v>PHILIPS</x:v>
      </x:c>
      <x:c r="I174" s="17" t="str">
        <x:v>Other</x:v>
      </x:c>
      <x:c r="J174" s="17" t="str">
        <x:v>Other</x:v>
      </x:c>
      <x:c r="K174" s="17" t="str">
        <x:v>PHILIPS QP2824/10 Oneblade Yüz ve Vücut Şekillendirici Lime Yeşili / Siyah</x:v>
      </x:c>
      <x:c r="L174" s="17" t="str">
        <x:v>1228614</x:v>
      </x:c>
      <x:c r="M174" s="22" t="n">
        <x:v>14669</x:v>
      </x:c>
      <x:c r="N174" s="26" t="n">
        <x:v>-5.4</x:v>
      </x:c>
      <x:c r="O174" s="22" t="n">
        <x:v>45</x:v>
      </x:c>
      <x:c r="P174" s="22" t="n">
        <x:v>65</x:v>
      </x:c>
      <x:c r="Q174" s="22" t="n">
        <x:v>0</x:v>
      </x:c>
      <x:c r="R174" s="17" t="n">
        <x:v>5</x:v>
      </x:c>
      <x:c r="S174" s="22" t="n">
        <x:v>10</x:v>
      </x:c>
      <x:c r="T174" s="24" t="n">
        <x:v>1.2</x:v>
      </x:c>
      <x:c r="U174" s="24" t="n">
        <x:f>IFERROR(O174/T174,0)</x:f>
        <x:v>37.5</x:v>
      </x:c>
      <x:c r="V174" s="17" t="str">
        <x:f>IF(O174&lt;=0,"out_of_stock",IF(U174&lt;7,"critical_low_stock",IF(U174&gt;60,"overstock","in_stock")))</x:f>
        <x:v>in_stock</x:v>
      </x:c>
      <x:c r="W174" s="17" t="str">
        <x:f>IF(O174&lt;=0,"OOS",IF(AND(U174&lt;7,AC174&gt;=0.5),"High Risk",IF(U174&lt;14,"Medium Risk",IF(U174&gt;60,"Overstock","Healthy"))))</x:f>
        <x:v>Healthy</x:v>
      </x:c>
      <x:c r="X174" s="22" t="n">
        <x:v>139</x:v>
      </x:c>
      <x:c r="Y174" s="22" t="n">
        <x:v>14</x:v>
      </x:c>
      <x:c r="Z174" s="22" t="n">
        <x:v>0</x:v>
      </x:c>
      <x:c r="AA174" s="24" t="n">
        <x:f>IFERROR(Y174/X174*100,0)</x:f>
        <x:v>10.071942446043165</x:v>
      </x:c>
      <x:c r="AB174" s="26" t="n">
        <x:v>-50.8</x:v>
      </x:c>
      <x:c r="AC174" s="24" t="n">
        <x:f>IFERROR(Z174/X174*100,0)</x:f>
        <x:v>0</x:v>
      </x:c>
      <x:c r="AD174" s="26" t="n">
        <x:v>-23.2</x:v>
      </x:c>
      <x:c r="AE174" s="22" t="n">
        <x:f>IFERROR(Z174*M174,0)</x:f>
        <x:v>0</x:v>
      </x:c>
      <x:c r="AF174" s="26" t="n">
        <x:v>-27.1</x:v>
      </x:c>
      <x:c r="AG174" s="24" t="n">
        <x:v>45.4</x:v>
      </x:c>
      <x:c r="AH174" s="26" t="n">
        <x:v>15.1</x:v>
      </x:c>
      <x:c r="AI174" s="22" t="n">
        <x:v>8</x:v>
      </x:c>
      <x:c r="AJ174" s="22" t="n">
        <x:v>4</x:v>
      </x:c>
      <x:c r="AK174" s="22" t="n">
        <x:v>3</x:v>
      </x:c>
      <x:c r="AL174" s="22" t="n">
        <x:v>2</x:v>
      </x:c>
      <x:c r="AM174" s="22" t="n">
        <x:v>1</x:v>
      </x:c>
      <x:c r="AN174" s="24" t="n">
        <x:f>IFERROR(AI174/X174*100,0)</x:f>
        <x:v>5.755395683453238</x:v>
      </x:c>
      <x:c r="AO174" s="24" t="n">
        <x:f>IFERROR(AJ174/X174*100,0)</x:f>
        <x:v>2.877697841726619</x:v>
      </x:c>
      <x:c r="AP174" s="24" t="n">
        <x:f>IFERROR(AK174/X174*100,0)</x:f>
        <x:v>2.158273381294964</x:v>
      </x:c>
      <x:c r="AQ174" s="24" t="n">
        <x:f>IFERROR(AL174/X174*100,0)</x:f>
        <x:v>1.4388489208633095</x:v>
      </x:c>
      <x:c r="AR174" s="24" t="n">
        <x:f>IFERROR(AM174/X174*100,0)</x:f>
        <x:v>0.7194244604316548</x:v>
      </x:c>
      <x:c r="AS174" s="24" t="n">
        <x:f>IFERROR(Z174/X174*100,0)</x:f>
        <x:v>0</x:v>
      </x:c>
      <x:c r="AT174" s="26" t="n">
        <x:v>35</x:v>
      </x:c>
      <x:c r="AU174" s="26" t="n">
        <x:v>-50.8</x:v>
      </x:c>
      <x:c r="AV174" s="26" t="n">
        <x:v>-62.6</x:v>
      </x:c>
      <x:c r="AW174" s="26" t="n">
        <x:v>-95.4</x:v>
      </x:c>
      <x:c r="AX174" s="26" t="n">
        <x:v>36.6</x:v>
      </x:c>
      <x:c r="AY174" s="26" t="n">
        <x:v>-9.4</x:v>
      </x:c>
      <x:c r="AZ174" s="26" t="n">
        <x:v>-14.7</x:v>
      </x:c>
      <x:c r="BA174" s="26" t="n">
        <x:v>-23.2</x:v>
      </x:c>
      <x:c r="BB174" s="22" t="n">
        <x:f>IFERROR(AE174/Z174,0)</x:f>
        <x:v>0</x:v>
      </x:c>
      <x:c r="BC174" s="17" t="n">
        <x:f>IF(OR(V174="out_of_stock",V174="critical_low_stock"),MAX(0,(14-U174)*T174),0)</x:f>
        <x:v>0</x:v>
      </x:c>
      <x:c r="BD174" s="22" t="n">
        <x:f>IFERROR(BC174*M174,0)</x:f>
        <x:v>0</x:v>
      </x:c>
      <x:c r="BE174" s="17" t="str">
        <x:v>mobile_funnel_behavior</x:v>
      </x:c>
      <x:c r="BF174" s="17" t="str">
        <x:v>inspired_by_uploaded_mobile_funnel_screenshot + copied_product_context</x:v>
      </x:c>
    </x:row>
    <x:row r="175">
      <x:c r="A175" s="17" t="n">
        <x:v>174</x:v>
      </x:c>
      <x:c r="B175" s="17" t="str">
        <x:v>MOBILE_EVENT_FUNNEL</x:v>
      </x:c>
      <x:c r="C175" s="20" t="n">
        <x:v>46147</x:v>
      </x:c>
      <x:c r="D175" s="17" t="str">
        <x:v>Mobile Web</x:v>
      </x:c>
      <x:c r="E175" s="17" t="str">
        <x:v>Mobile</x:v>
      </x:c>
      <x:c r="F175" s="17" t="str">
        <x:v>CRM</x:v>
      </x:c>
      <x:c r="G175" s="17" t="n">
        <x:v>99</x:v>
      </x:c>
      <x:c r="H175" s="17" t="str">
        <x:v>ONVO</x:v>
      </x:c>
      <x:c r="I175" s="17" t="str">
        <x:v>Other</x:v>
      </x:c>
      <x:c r="J175" s="17" t="str">
        <x:v>Other</x:v>
      </x:c>
      <x:c r="K175" s="17" t="str">
        <x:v>ONVO OV-013 X-Plus 2000 W Elektrikli Scooter Siyah</x:v>
      </x:c>
      <x:c r="L175" s="17" t="str">
        <x:v>1245818</x:v>
      </x:c>
      <x:c r="M175" s="22" t="n">
        <x:v>14843</x:v>
      </x:c>
      <x:c r="N175" s="26" t="n">
        <x:v>-16.3</x:v>
      </x:c>
      <x:c r="O175" s="22" t="n">
        <x:v>44</x:v>
      </x:c>
      <x:c r="P175" s="22" t="n">
        <x:v>22</x:v>
      </x:c>
      <x:c r="Q175" s="22" t="n">
        <x:v>0</x:v>
      </x:c>
      <x:c r="R175" s="17" t="n">
        <x:v>3</x:v>
      </x:c>
      <x:c r="S175" s="22" t="n">
        <x:v>4</x:v>
      </x:c>
      <x:c r="T175" s="24" t="n">
        <x:v>0.6</x:v>
      </x:c>
      <x:c r="U175" s="24" t="n">
        <x:f>IFERROR(O175/T175,0)</x:f>
        <x:v>73.33333333333334</x:v>
      </x:c>
      <x:c r="V175" s="17" t="str">
        <x:f>IF(O175&lt;=0,"out_of_stock",IF(U175&lt;7,"critical_low_stock",IF(U175&gt;60,"overstock","in_stock")))</x:f>
        <x:v>overstock</x:v>
      </x:c>
      <x:c r="W175" s="17" t="str">
        <x:f>IF(O175&lt;=0,"OOS",IF(AND(U175&lt;7,AC175&gt;=0.5),"High Risk",IF(U175&lt;14,"Medium Risk",IF(U175&gt;60,"Overstock","Healthy"))))</x:f>
        <x:v>Overstock</x:v>
      </x:c>
      <x:c r="X175" s="22" t="n">
        <x:v>466</x:v>
      </x:c>
      <x:c r="Y175" s="22" t="n">
        <x:v>18</x:v>
      </x:c>
      <x:c r="Z175" s="22" t="n">
        <x:v>2</x:v>
      </x:c>
      <x:c r="AA175" s="24" t="n">
        <x:f>IFERROR(Y175/X175*100,0)</x:f>
        <x:v>3.862660944206009</x:v>
      </x:c>
      <x:c r="AB175" s="26" t="n">
        <x:v>-79.1</x:v>
      </x:c>
      <x:c r="AC175" s="24" t="n">
        <x:f>IFERROR(Z175/X175*100,0)</x:f>
        <x:v>0.4291845493562232</x:v>
      </x:c>
      <x:c r="AD175" s="26" t="n">
        <x:v>-19.2</x:v>
      </x:c>
      <x:c r="AE175" s="22" t="n">
        <x:f>IFERROR(Z175*M175,0)</x:f>
        <x:v>29686</x:v>
      </x:c>
      <x:c r="AF175" s="26" t="n">
        <x:v>-43.5</x:v>
      </x:c>
      <x:c r="AG175" s="24" t="n">
        <x:v>41.3</x:v>
      </x:c>
      <x:c r="AH175" s="26" t="n">
        <x:v>12.8</x:v>
      </x:c>
      <x:c r="AI175" s="22" t="n">
        <x:v>8</x:v>
      </x:c>
      <x:c r="AJ175" s="22" t="n">
        <x:v>5</x:v>
      </x:c>
      <x:c r="AK175" s="22" t="n">
        <x:v>4</x:v>
      </x:c>
      <x:c r="AL175" s="22" t="n">
        <x:v>3</x:v>
      </x:c>
      <x:c r="AM175" s="22" t="n">
        <x:v>3</x:v>
      </x:c>
      <x:c r="AN175" s="24" t="n">
        <x:f>IFERROR(AI175/X175*100,0)</x:f>
        <x:v>1.7167381974248928</x:v>
      </x:c>
      <x:c r="AO175" s="24" t="n">
        <x:f>IFERROR(AJ175/X175*100,0)</x:f>
        <x:v>1.0729613733905579</x:v>
      </x:c>
      <x:c r="AP175" s="24" t="n">
        <x:f>IFERROR(AK175/X175*100,0)</x:f>
        <x:v>0.8583690987124464</x:v>
      </x:c>
      <x:c r="AQ175" s="24" t="n">
        <x:f>IFERROR(AL175/X175*100,0)</x:f>
        <x:v>0.6437768240343348</x:v>
      </x:c>
      <x:c r="AR175" s="24" t="n">
        <x:f>IFERROR(AM175/X175*100,0)</x:f>
        <x:v>0.6437768240343348</x:v>
      </x:c>
      <x:c r="AS175" s="24" t="n">
        <x:f>IFERROR(Z175/X175*100,0)</x:f>
        <x:v>0.4291845493562232</x:v>
      </x:c>
      <x:c r="AT175" s="26" t="n">
        <x:v>23.1</x:v>
      </x:c>
      <x:c r="AU175" s="26" t="n">
        <x:v>-79.1</x:v>
      </x:c>
      <x:c r="AV175" s="26" t="n">
        <x:v>48.2</x:v>
      </x:c>
      <x:c r="AW175" s="26" t="n">
        <x:v>-74.8</x:v>
      </x:c>
      <x:c r="AX175" s="26" t="n">
        <x:v>-22.1</x:v>
      </x:c>
      <x:c r="AY175" s="26" t="n">
        <x:v>-6.5</x:v>
      </x:c>
      <x:c r="AZ175" s="26" t="n">
        <x:v>-19.7</x:v>
      </x:c>
      <x:c r="BA175" s="26" t="n">
        <x:v>-19.2</x:v>
      </x:c>
      <x:c r="BB175" s="22" t="n">
        <x:f>IFERROR(AE175/Z175,0)</x:f>
        <x:v>14843</x:v>
      </x:c>
      <x:c r="BC175" s="17" t="n">
        <x:f>IF(OR(V175="out_of_stock",V175="critical_low_stock"),MAX(0,(14-U175)*T175),0)</x:f>
        <x:v>0</x:v>
      </x:c>
      <x:c r="BD175" s="22" t="n">
        <x:f>IFERROR(BC175*M175,0)</x:f>
        <x:v>0</x:v>
      </x:c>
      <x:c r="BE175" s="17" t="str">
        <x:v>mobile_funnel_behavior</x:v>
      </x:c>
      <x:c r="BF175" s="17" t="str">
        <x:v>inspired_by_uploaded_mobile_funnel_screenshot + copied_product_context</x:v>
      </x:c>
    </x:row>
    <x:row r="176">
      <x:c r="A176" s="17" t="n">
        <x:v>175</x:v>
      </x:c>
      <x:c r="B176" s="17" t="str">
        <x:v>MOBILE_EVENT_FUNNEL</x:v>
      </x:c>
      <x:c r="C176" s="20" t="n">
        <x:v>46148</x:v>
      </x:c>
      <x:c r="D176" s="17" t="str">
        <x:v>Mobile Web</x:v>
      </x:c>
      <x:c r="E176" s="17" t="str">
        <x:v>Mobile</x:v>
      </x:c>
      <x:c r="F176" s="17" t="str">
        <x:v>Social Paid</x:v>
      </x:c>
      <x:c r="G176" s="17" t="n">
        <x:v>24</x:v>
      </x:c>
      <x:c r="H176" s="17" t="str">
        <x:v>APPLE</x:v>
      </x:c>
      <x:c r="I176" s="17" t="str">
        <x:v>Bilgisayar</x:v>
      </x:c>
      <x:c r="J176" s="17" t="str">
        <x:v>Tabletler</x:v>
      </x:c>
      <x:c r="K176" s="17" t="str">
        <x:v>APPLE iPad (A16) Wi-Fi 128 GB Tablet Mavi MD4A4TU/A</x:v>
      </x:c>
      <x:c r="L176" s="17" t="str">
        <x:v>1245606</x:v>
      </x:c>
      <x:c r="M176" s="22" t="n">
        <x:v>30637</x:v>
      </x:c>
      <x:c r="N176" s="26" t="n">
        <x:v>-6.8</x:v>
      </x:c>
      <x:c r="O176" s="22" t="n">
        <x:v>0</x:v>
      </x:c>
      <x:c r="P176" s="22" t="n">
        <x:v>0</x:v>
      </x:c>
      <x:c r="Q176" s="22" t="n">
        <x:v>0</x:v>
      </x:c>
      <x:c r="R176" s="17" t="n">
        <x:v>7</x:v>
      </x:c>
      <x:c r="S176" s="22" t="n">
        <x:v>5</x:v>
      </x:c>
      <x:c r="T176" s="24" t="n">
        <x:v>0.5</x:v>
      </x:c>
      <x:c r="U176" s="24" t="n">
        <x:f>IFERROR(O176/T176,0)</x:f>
        <x:v>0</x:v>
      </x:c>
      <x:c r="V176" s="17" t="str">
        <x:f>IF(O176&lt;=0,"out_of_stock",IF(U176&lt;7,"critical_low_stock",IF(U176&gt;60,"overstock","in_stock")))</x:f>
        <x:v>out_of_stock</x:v>
      </x:c>
      <x:c r="W176" s="17" t="str">
        <x:f>IF(O176&lt;=0,"OOS",IF(AND(U176&lt;7,AC176&gt;=0.5),"High Risk",IF(U176&lt;14,"Medium Risk",IF(U176&gt;60,"Overstock","Healthy"))))</x:f>
        <x:v>OOS</x:v>
      </x:c>
      <x:c r="X176" s="22" t="n">
        <x:v>472</x:v>
      </x:c>
      <x:c r="Y176" s="22" t="n">
        <x:v>44</x:v>
      </x:c>
      <x:c r="Z176" s="22" t="n">
        <x:v>1</x:v>
      </x:c>
      <x:c r="AA176" s="24" t="n">
        <x:f>IFERROR(Y176/X176*100,0)</x:f>
        <x:v>9.322033898305085</x:v>
      </x:c>
      <x:c r="AB176" s="26" t="n">
        <x:v>-78.5</x:v>
      </x:c>
      <x:c r="AC176" s="24" t="n">
        <x:f>IFERROR(Z176/X176*100,0)</x:f>
        <x:v>0.211864406779661</x:v>
      </x:c>
      <x:c r="AD176" s="26" t="n">
        <x:v>-0.1</x:v>
      </x:c>
      <x:c r="AE176" s="22" t="n">
        <x:f>IFERROR(Z176*M176,0)</x:f>
        <x:v>30637</x:v>
      </x:c>
      <x:c r="AF176" s="26" t="n">
        <x:v>-8</x:v>
      </x:c>
      <x:c r="AG176" s="24" t="n">
        <x:v>40.9</x:v>
      </x:c>
      <x:c r="AH176" s="26" t="n">
        <x:v>0.1</x:v>
      </x:c>
      <x:c r="AI176" s="22" t="n">
        <x:v>6</x:v>
      </x:c>
      <x:c r="AJ176" s="22" t="n">
        <x:v>2</x:v>
      </x:c>
      <x:c r="AK176" s="22" t="n">
        <x:v>1</x:v>
      </x:c>
      <x:c r="AL176" s="22" t="n">
        <x:v>1</x:v>
      </x:c>
      <x:c r="AM176" s="22" t="n">
        <x:v>1</x:v>
      </x:c>
      <x:c r="AN176" s="24" t="n">
        <x:f>IFERROR(AI176/X176*100,0)</x:f>
        <x:v>1.2711864406779663</x:v>
      </x:c>
      <x:c r="AO176" s="24" t="n">
        <x:f>IFERROR(AJ176/X176*100,0)</x:f>
        <x:v>0.423728813559322</x:v>
      </x:c>
      <x:c r="AP176" s="24" t="n">
        <x:f>IFERROR(AK176/X176*100,0)</x:f>
        <x:v>0.211864406779661</x:v>
      </x:c>
      <x:c r="AQ176" s="24" t="n">
        <x:f>IFERROR(AL176/X176*100,0)</x:f>
        <x:v>0.211864406779661</x:v>
      </x:c>
      <x:c r="AR176" s="24" t="n">
        <x:f>IFERROR(AM176/X176*100,0)</x:f>
        <x:v>0.211864406779661</x:v>
      </x:c>
      <x:c r="AS176" s="24" t="n">
        <x:f>IFERROR(Z176/X176*100,0)</x:f>
        <x:v>0.211864406779661</x:v>
      </x:c>
      <x:c r="AT176" s="26" t="n">
        <x:v>10.9</x:v>
      </x:c>
      <x:c r="AU176" s="26" t="n">
        <x:v>-78.5</x:v>
      </x:c>
      <x:c r="AV176" s="26" t="n">
        <x:v>-37.7</x:v>
      </x:c>
      <x:c r="AW176" s="26" t="n">
        <x:v>-53.7</x:v>
      </x:c>
      <x:c r="AX176" s="26" t="n">
        <x:v>-17.2</x:v>
      </x:c>
      <x:c r="AY176" s="26" t="n">
        <x:v>9</x:v>
      </x:c>
      <x:c r="AZ176" s="26" t="n">
        <x:v>-28.1</x:v>
      </x:c>
      <x:c r="BA176" s="26" t="n">
        <x:v>-0.1</x:v>
      </x:c>
      <x:c r="BB176" s="22" t="n">
        <x:f>IFERROR(AE176/Z176,0)</x:f>
        <x:v>30637</x:v>
      </x:c>
      <x:c r="BC176" s="17" t="n">
        <x:f>IF(OR(V176="out_of_stock",V176="critical_low_stock"),MAX(0,(14-U176)*T176),0)</x:f>
        <x:v>7</x:v>
      </x:c>
      <x:c r="BD176" s="22" t="n">
        <x:f>IFERROR(BC176*M176,0)</x:f>
        <x:v>214459</x:v>
      </x:c>
      <x:c r="BE176" s="17" t="str">
        <x:v>mobile_funnel_behavior</x:v>
      </x:c>
      <x:c r="BF176" s="17" t="str">
        <x:v>inspired_by_uploaded_mobile_funnel_screenshot + copied_product_context</x:v>
      </x:c>
    </x:row>
    <x:row r="177">
      <x:c r="A177" s="17" t="n">
        <x:v>176</x:v>
      </x:c>
      <x:c r="B177" s="17" t="str">
        <x:v>MOBILE_EVENT_FUNNEL</x:v>
      </x:c>
      <x:c r="C177" s="20" t="n">
        <x:v>46149</x:v>
      </x:c>
      <x:c r="D177" s="17" t="str">
        <x:v>Mobile Web</x:v>
      </x:c>
      <x:c r="E177" s="17" t="str">
        <x:v>Mobile</x:v>
      </x:c>
      <x:c r="F177" s="17" t="str">
        <x:v>Price Comparison</x:v>
      </x:c>
      <x:c r="G177" s="17" t="n">
        <x:v>28</x:v>
      </x:c>
      <x:c r="H177" s="17" t="str">
        <x:v>SAMSUNG</x:v>
      </x:c>
      <x:c r="I177" s="17" t="str">
        <x:v>Telefon</x:v>
      </x:c>
      <x:c r="J177" s="17" t="str">
        <x:v>Cep Telefonları</x:v>
      </x:c>
      <x:c r="K177" s="17" t="str">
        <x:v>SAMSUNG Galaxy S26 Ultra 5G 12/512 GB Akıllı Telefon Kobalt Siyah</x:v>
      </x:c>
      <x:c r="L177" s="17" t="str">
        <x:v>1252473</x:v>
      </x:c>
      <x:c r="M177" s="22" t="n">
        <x:v>50210</x:v>
      </x:c>
      <x:c r="N177" s="26" t="n">
        <x:v>-14.5</x:v>
      </x:c>
      <x:c r="O177" s="22" t="n">
        <x:v>132</x:v>
      </x:c>
      <x:c r="P177" s="22" t="n">
        <x:v>23</x:v>
      </x:c>
      <x:c r="Q177" s="22" t="n">
        <x:v>0</x:v>
      </x:c>
      <x:c r="R177" s="17" t="n">
        <x:v>14</x:v>
      </x:c>
      <x:c r="S177" s="22" t="n">
        <x:v>9</x:v>
      </x:c>
      <x:c r="T177" s="24" t="n">
        <x:v>0.5</x:v>
      </x:c>
      <x:c r="U177" s="24" t="n">
        <x:f>IFERROR(O177/T177,0)</x:f>
        <x:v>264</x:v>
      </x:c>
      <x:c r="V177" s="17" t="str">
        <x:f>IF(O177&lt;=0,"out_of_stock",IF(U177&lt;7,"critical_low_stock",IF(U177&gt;60,"overstock","in_stock")))</x:f>
        <x:v>overstock</x:v>
      </x:c>
      <x:c r="W177" s="17" t="str">
        <x:f>IF(O177&lt;=0,"OOS",IF(AND(U177&lt;7,AC177&gt;=0.5),"High Risk",IF(U177&lt;14,"Medium Risk",IF(U177&gt;60,"Overstock","Healthy"))))</x:f>
        <x:v>Overstock</x:v>
      </x:c>
      <x:c r="X177" s="22" t="n">
        <x:v>516</x:v>
      </x:c>
      <x:c r="Y177" s="22" t="n">
        <x:v>24</x:v>
      </x:c>
      <x:c r="Z177" s="22" t="n">
        <x:v>2</x:v>
      </x:c>
      <x:c r="AA177" s="24" t="n">
        <x:f>IFERROR(Y177/X177*100,0)</x:f>
        <x:v>4.651162790697675</x:v>
      </x:c>
      <x:c r="AB177" s="26" t="n">
        <x:v>-60.4</x:v>
      </x:c>
      <x:c r="AC177" s="24" t="n">
        <x:f>IFERROR(Z177/X177*100,0)</x:f>
        <x:v>0.3875968992248062</x:v>
      </x:c>
      <x:c r="AD177" s="26" t="n">
        <x:v>-40.8</x:v>
      </x:c>
      <x:c r="AE177" s="22" t="n">
        <x:f>IFERROR(Z177*M177,0)</x:f>
        <x:v>100420</x:v>
      </x:c>
      <x:c r="AF177" s="26" t="n">
        <x:v>-62.3</x:v>
      </x:c>
      <x:c r="AG177" s="24" t="n">
        <x:v>57.1</x:v>
      </x:c>
      <x:c r="AH177" s="26" t="n">
        <x:v>13.1</x:v>
      </x:c>
      <x:c r="AI177" s="22" t="n">
        <x:v>16</x:v>
      </x:c>
      <x:c r="AJ177" s="22" t="n">
        <x:v>12</x:v>
      </x:c>
      <x:c r="AK177" s="22" t="n">
        <x:v>10</x:v>
      </x:c>
      <x:c r="AL177" s="22" t="n">
        <x:v>7</x:v>
      </x:c>
      <x:c r="AM177" s="22" t="n">
        <x:v>5</x:v>
      </x:c>
      <x:c r="AN177" s="24" t="n">
        <x:f>IFERROR(AI177/X177*100,0)</x:f>
        <x:v>3.10077519379845</x:v>
      </x:c>
      <x:c r="AO177" s="24" t="n">
        <x:f>IFERROR(AJ177/X177*100,0)</x:f>
        <x:v>2.3255813953488373</x:v>
      </x:c>
      <x:c r="AP177" s="24" t="n">
        <x:f>IFERROR(AK177/X177*100,0)</x:f>
        <x:v>1.937984496124031</x:v>
      </x:c>
      <x:c r="AQ177" s="24" t="n">
        <x:f>IFERROR(AL177/X177*100,0)</x:f>
        <x:v>1.3565891472868217</x:v>
      </x:c>
      <x:c r="AR177" s="24" t="n">
        <x:f>IFERROR(AM177/X177*100,0)</x:f>
        <x:v>0.9689922480620154</x:v>
      </x:c>
      <x:c r="AS177" s="24" t="n">
        <x:f>IFERROR(Z177/X177*100,0)</x:f>
        <x:v>0.3875968992248062</x:v>
      </x:c>
      <x:c r="AT177" s="26" t="n">
        <x:v>-17</x:v>
      </x:c>
      <x:c r="AU177" s="26" t="n">
        <x:v>-60.4</x:v>
      </x:c>
      <x:c r="AV177" s="26" t="n">
        <x:v>-23.4</x:v>
      </x:c>
      <x:c r="AW177" s="26" t="n">
        <x:v>-27</x:v>
      </x:c>
      <x:c r="AX177" s="26" t="n">
        <x:v>-2.5</x:v>
      </x:c>
      <x:c r="AY177" s="26" t="n">
        <x:v>26</x:v>
      </x:c>
      <x:c r="AZ177" s="26" t="n">
        <x:v>-43.4</x:v>
      </x:c>
      <x:c r="BA177" s="26" t="n">
        <x:v>-40.8</x:v>
      </x:c>
      <x:c r="BB177" s="22" t="n">
        <x:f>IFERROR(AE177/Z177,0)</x:f>
        <x:v>50210</x:v>
      </x:c>
      <x:c r="BC177" s="17" t="n">
        <x:f>IF(OR(V177="out_of_stock",V177="critical_low_stock"),MAX(0,(14-U177)*T177),0)</x:f>
        <x:v>0</x:v>
      </x:c>
      <x:c r="BD177" s="22" t="n">
        <x:f>IFERROR(BC177*M177,0)</x:f>
        <x:v>0</x:v>
      </x:c>
      <x:c r="BE177" s="17" t="str">
        <x:v>mobile_funnel_behavior</x:v>
      </x:c>
      <x:c r="BF177" s="17" t="str">
        <x:v>inspired_by_uploaded_mobile_funnel_screenshot + copied_product_context</x:v>
      </x:c>
    </x:row>
    <x:row r="178">
      <x:c r="A178" s="17" t="n">
        <x:v>177</x:v>
      </x:c>
      <x:c r="B178" s="17" t="str">
        <x:v>MOBILE_EVENT_FUNNEL</x:v>
      </x:c>
      <x:c r="C178" s="20" t="n">
        <x:v>46150</x:v>
      </x:c>
      <x:c r="D178" s="17" t="str">
        <x:v>Mobile Web</x:v>
      </x:c>
      <x:c r="E178" s="17" t="str">
        <x:v>Mobile</x:v>
      </x:c>
      <x:c r="F178" s="17" t="str">
        <x:v>Search Organic Generic</x:v>
      </x:c>
      <x:c r="G178" s="17" t="n">
        <x:v>21</x:v>
      </x:c>
      <x:c r="H178" s="17" t="str">
        <x:v>DJI</x:v>
      </x:c>
      <x:c r="I178" s="17" t="str">
        <x:v>Foto &amp; Kamera &amp; Drone</x:v>
      </x:c>
      <x:c r="J178" s="17" t="str">
        <x:v>Drone</x:v>
      </x:c>
      <x:c r="K178" s="17" t="str">
        <x:v>DJI Osmo Pocket 4 Creator Combo Gimbal</x:v>
      </x:c>
      <x:c r="L178" s="17" t="str">
        <x:v>1254263</x:v>
      </x:c>
      <x:c r="M178" s="22" t="n">
        <x:v>17238</x:v>
      </x:c>
      <x:c r="N178" s="26" t="n">
        <x:v>9.9</x:v>
      </x:c>
      <x:c r="O178" s="22" t="n">
        <x:v>12</x:v>
      </x:c>
      <x:c r="P178" s="22" t="n">
        <x:v>13</x:v>
      </x:c>
      <x:c r="Q178" s="22" t="n">
        <x:v>36</x:v>
      </x:c>
      <x:c r="R178" s="17" t="n">
        <x:v>14</x:v>
      </x:c>
      <x:c r="S178" s="22" t="n">
        <x:v>34</x:v>
      </x:c>
      <x:c r="T178" s="24" t="n">
        <x:v>2</x:v>
      </x:c>
      <x:c r="U178" s="24" t="n">
        <x:f>IFERROR(O178/T178,0)</x:f>
        <x:v>6</x:v>
      </x:c>
      <x:c r="V178" s="17" t="str">
        <x:f>IF(O178&lt;=0,"out_of_stock",IF(U178&lt;7,"critical_low_stock",IF(U178&gt;60,"overstock","in_stock")))</x:f>
        <x:v>critical_low_stock</x:v>
      </x:c>
      <x:c r="W178" s="17" t="str">
        <x:f>IF(O178&lt;=0,"OOS",IF(AND(U178&lt;7,AC178&gt;=0.5),"High Risk",IF(U178&lt;14,"Medium Risk",IF(U178&gt;60,"Overstock","Healthy"))))</x:f>
        <x:v>Medium Risk</x:v>
      </x:c>
      <x:c r="X178" s="22" t="n">
        <x:v>1455</x:v>
      </x:c>
      <x:c r="Y178" s="22" t="n">
        <x:v>125</x:v>
      </x:c>
      <x:c r="Z178" s="22" t="n">
        <x:v>4</x:v>
      </x:c>
      <x:c r="AA178" s="24" t="n">
        <x:f>IFERROR(Y178/X178*100,0)</x:f>
        <x:v>8.59106529209622</x:v>
      </x:c>
      <x:c r="AB178" s="26" t="n">
        <x:v>-50.1</x:v>
      </x:c>
      <x:c r="AC178" s="24" t="n">
        <x:f>IFERROR(Z178/X178*100,0)</x:f>
        <x:v>0.27491408934707906</x:v>
      </x:c>
      <x:c r="AD178" s="26" t="n">
        <x:v>-6.6</x:v>
      </x:c>
      <x:c r="AE178" s="22" t="n">
        <x:f>IFERROR(Z178*M178,0)</x:f>
        <x:v>68952</x:v>
      </x:c>
      <x:c r="AF178" s="26" t="n">
        <x:v>-2</x:v>
      </x:c>
      <x:c r="AG178" s="24" t="n">
        <x:v>54.8</x:v>
      </x:c>
      <x:c r="AH178" s="26" t="n">
        <x:v>6.7</x:v>
      </x:c>
      <x:c r="AI178" s="22" t="n">
        <x:v>103</x:v>
      </x:c>
      <x:c r="AJ178" s="22" t="n">
        <x:v>38</x:v>
      </x:c>
      <x:c r="AK178" s="22" t="n">
        <x:v>26</x:v>
      </x:c>
      <x:c r="AL178" s="22" t="n">
        <x:v>18</x:v>
      </x:c>
      <x:c r="AM178" s="22" t="n">
        <x:v>11</x:v>
      </x:c>
      <x:c r="AN178" s="24" t="n">
        <x:f>IFERROR(AI178/X178*100,0)</x:f>
        <x:v>7.079037800687285</x:v>
      </x:c>
      <x:c r="AO178" s="24" t="n">
        <x:f>IFERROR(AJ178/X178*100,0)</x:f>
        <x:v>2.611683848797251</x:v>
      </x:c>
      <x:c r="AP178" s="24" t="n">
        <x:f>IFERROR(AK178/X178*100,0)</x:f>
        <x:v>1.7869415807560136</x:v>
      </x:c>
      <x:c r="AQ178" s="24" t="n">
        <x:f>IFERROR(AL178/X178*100,0)</x:f>
        <x:v>1.2371134020618557</x:v>
      </x:c>
      <x:c r="AR178" s="24" t="n">
        <x:f>IFERROR(AM178/X178*100,0)</x:f>
        <x:v>0.7560137457044673</x:v>
      </x:c>
      <x:c r="AS178" s="24" t="n">
        <x:f>IFERROR(Z178/X178*100,0)</x:f>
        <x:v>0.27491408934707906</x:v>
      </x:c>
      <x:c r="AT178" s="26" t="n">
        <x:v>11.5</x:v>
      </x:c>
      <x:c r="AU178" s="26" t="n">
        <x:v>-50.1</x:v>
      </x:c>
      <x:c r="AV178" s="26" t="n">
        <x:v>-31.7</x:v>
      </x:c>
      <x:c r="AW178" s="26" t="n">
        <x:v>-105.5</x:v>
      </x:c>
      <x:c r="AX178" s="26" t="n">
        <x:v>29.5</x:v>
      </x:c>
      <x:c r="AY178" s="26" t="n">
        <x:v>-4.3</x:v>
      </x:c>
      <x:c r="AZ178" s="26" t="n">
        <x:v>-16.4</x:v>
      </x:c>
      <x:c r="BA178" s="26" t="n">
        <x:v>-6.6</x:v>
      </x:c>
      <x:c r="BB178" s="22" t="n">
        <x:f>IFERROR(AE178/Z178,0)</x:f>
        <x:v>17238</x:v>
      </x:c>
      <x:c r="BC178" s="17" t="n">
        <x:f>IF(OR(V178="out_of_stock",V178="critical_low_stock"),MAX(0,(14-U178)*T178),0)</x:f>
        <x:v>16</x:v>
      </x:c>
      <x:c r="BD178" s="22" t="n">
        <x:f>IFERROR(BC178*M178,0)</x:f>
        <x:v>275808</x:v>
      </x:c>
      <x:c r="BE178" s="17" t="str">
        <x:v>mobile_funnel_behavior</x:v>
      </x:c>
      <x:c r="BF178" s="17" t="str">
        <x:v>inspired_by_uploaded_mobile_funnel_screenshot + copied_product_context</x:v>
      </x:c>
    </x:row>
    <x:row r="179">
      <x:c r="A179" s="17" t="n">
        <x:v>178</x:v>
      </x:c>
      <x:c r="B179" s="17" t="str">
        <x:v>MOBILE_EVENT_FUNNEL</x:v>
      </x:c>
      <x:c r="C179" s="20" t="n">
        <x:v>46151</x:v>
      </x:c>
      <x:c r="D179" s="17" t="str">
        <x:v>Mobile Web</x:v>
      </x:c>
      <x:c r="E179" s="17" t="str">
        <x:v>Mobile</x:v>
      </x:c>
      <x:c r="F179" s="17" t="str">
        <x:v>Direct</x:v>
      </x:c>
      <x:c r="G179" s="17" t="n">
        <x:v>29</x:v>
      </x:c>
      <x:c r="H179" s="17" t="str">
        <x:v>APPLE</x:v>
      </x:c>
      <x:c r="I179" s="17" t="str">
        <x:v>Telefon</x:v>
      </x:c>
      <x:c r="J179" s="17" t="str">
        <x:v>Telefon Aksesuarları</x:v>
      </x:c>
      <x:c r="K179" s="17" t="str">
        <x:v>APPLE MD3J4TU/A 20W USB-C Güç Adaptörü</x:v>
      </x:c>
      <x:c r="L179" s="17" t="str">
        <x:v>1245474</x:v>
      </x:c>
      <x:c r="M179" s="22" t="n">
        <x:v>2042</x:v>
      </x:c>
      <x:c r="N179" s="26" t="n">
        <x:v>-5.4</x:v>
      </x:c>
      <x:c r="O179" s="22" t="n">
        <x:v>812</x:v>
      </x:c>
      <x:c r="P179" s="22" t="n">
        <x:v>410</x:v>
      </x:c>
      <x:c r="Q179" s="22" t="n">
        <x:v>0</x:v>
      </x:c>
      <x:c r="R179" s="17" t="n">
        <x:v>14</x:v>
      </x:c>
      <x:c r="S179" s="22" t="n">
        <x:v>29</x:v>
      </x:c>
      <x:c r="T179" s="24" t="n">
        <x:v>1.7</x:v>
      </x:c>
      <x:c r="U179" s="24" t="n">
        <x:f>IFERROR(O179/T179,0)</x:f>
        <x:v>477.64705882352945</x:v>
      </x:c>
      <x:c r="V179" s="17" t="str">
        <x:f>IF(O179&lt;=0,"out_of_stock",IF(U179&lt;7,"critical_low_stock",IF(U179&gt;60,"overstock","in_stock")))</x:f>
        <x:v>overstock</x:v>
      </x:c>
      <x:c r="W179" s="17" t="str">
        <x:f>IF(O179&lt;=0,"OOS",IF(AND(U179&lt;7,AC179&gt;=0.5),"High Risk",IF(U179&lt;14,"Medium Risk",IF(U179&gt;60,"Overstock","Healthy"))))</x:f>
        <x:v>Overstock</x:v>
      </x:c>
      <x:c r="X179" s="22" t="n">
        <x:v>727</x:v>
      </x:c>
      <x:c r="Y179" s="22" t="n">
        <x:v>47</x:v>
      </x:c>
      <x:c r="Z179" s="22" t="n">
        <x:v>3</x:v>
      </x:c>
      <x:c r="AA179" s="24" t="n">
        <x:f>IFERROR(Y179/X179*100,0)</x:f>
        <x:v>6.464924346629987</x:v>
      </x:c>
      <x:c r="AB179" s="26" t="n">
        <x:v>-17</x:v>
      </x:c>
      <x:c r="AC179" s="24" t="n">
        <x:f>IFERROR(Z179/X179*100,0)</x:f>
        <x:v>0.41265474552957354</x:v>
      </x:c>
      <x:c r="AD179" s="26" t="n">
        <x:v>0.2</x:v>
      </x:c>
      <x:c r="AE179" s="22" t="n">
        <x:f>IFERROR(Z179*M179,0)</x:f>
        <x:v>6126</x:v>
      </x:c>
      <x:c r="AF179" s="26" t="n">
        <x:v>1.1</x:v>
      </x:c>
      <x:c r="AG179" s="24" t="n">
        <x:v>55</x:v>
      </x:c>
      <x:c r="AH179" s="26" t="n">
        <x:v>1.8</x:v>
      </x:c>
      <x:c r="AI179" s="22" t="n">
        <x:v>29</x:v>
      </x:c>
      <x:c r="AJ179" s="22" t="n">
        <x:v>15</x:v>
      </x:c>
      <x:c r="AK179" s="22" t="n">
        <x:v>7</x:v>
      </x:c>
      <x:c r="AL179" s="22" t="n">
        <x:v>7</x:v>
      </x:c>
      <x:c r="AM179" s="22" t="n">
        <x:v>4</x:v>
      </x:c>
      <x:c r="AN179" s="24" t="n">
        <x:f>IFERROR(AI179/X179*100,0)</x:f>
        <x:v>3.988995873452544</x:v>
      </x:c>
      <x:c r="AO179" s="24" t="n">
        <x:f>IFERROR(AJ179/X179*100,0)</x:f>
        <x:v>2.063273727647868</x:v>
      </x:c>
      <x:c r="AP179" s="24" t="n">
        <x:f>IFERROR(AK179/X179*100,0)</x:f>
        <x:v>0.9628610729023385</x:v>
      </x:c>
      <x:c r="AQ179" s="24" t="n">
        <x:f>IFERROR(AL179/X179*100,0)</x:f>
        <x:v>0.9628610729023385</x:v>
      </x:c>
      <x:c r="AR179" s="24" t="n">
        <x:f>IFERROR(AM179/X179*100,0)</x:f>
        <x:v>0.5502063273727648</x:v>
      </x:c>
      <x:c r="AS179" s="24" t="n">
        <x:f>IFERROR(Z179/X179*100,0)</x:f>
        <x:v>0.41265474552957354</x:v>
      </x:c>
      <x:c r="AT179" s="26" t="n">
        <x:v>-8.8</x:v>
      </x:c>
      <x:c r="AU179" s="26" t="n">
        <x:v>-17</x:v>
      </x:c>
      <x:c r="AV179" s="26" t="n">
        <x:v>-16.9</x:v>
      </x:c>
      <x:c r="AW179" s="26" t="n">
        <x:v>-42.2</x:v>
      </x:c>
      <x:c r="AX179" s="26" t="n">
        <x:v>-0.5</x:v>
      </x:c>
      <x:c r="AY179" s="26" t="n">
        <x:v>36.3</x:v>
      </x:c>
      <x:c r="AZ179" s="26" t="n">
        <x:v>-14.9</x:v>
      </x:c>
      <x:c r="BA179" s="26" t="n">
        <x:v>0.2</x:v>
      </x:c>
      <x:c r="BB179" s="22" t="n">
        <x:f>IFERROR(AE179/Z179,0)</x:f>
        <x:v>2042</x:v>
      </x:c>
      <x:c r="BC179" s="17" t="n">
        <x:f>IF(OR(V179="out_of_stock",V179="critical_low_stock"),MAX(0,(14-U179)*T179),0)</x:f>
        <x:v>0</x:v>
      </x:c>
      <x:c r="BD179" s="22" t="n">
        <x:f>IFERROR(BC179*M179,0)</x:f>
        <x:v>0</x:v>
      </x:c>
      <x:c r="BE179" s="17" t="str">
        <x:v>mobile_funnel_behavior</x:v>
      </x:c>
      <x:c r="BF179" s="17" t="str">
        <x:v>inspired_by_uploaded_mobile_funnel_screenshot + copied_product_context</x:v>
      </x:c>
    </x:row>
    <x:row r="180">
      <x:c r="A180" s="17" t="n">
        <x:v>179</x:v>
      </x:c>
      <x:c r="B180" s="17" t="str">
        <x:v>MOBILE_EVENT_FUNNEL</x:v>
      </x:c>
      <x:c r="C180" s="20" t="n">
        <x:v>46152</x:v>
      </x:c>
      <x:c r="D180" s="17" t="str">
        <x:v>Mobile Web</x:v>
      </x:c>
      <x:c r="E180" s="17" t="str">
        <x:v>Mobile</x:v>
      </x:c>
      <x:c r="F180" s="17" t="str">
        <x:v>Search Organic Brand</x:v>
      </x:c>
      <x:c r="G180" s="17" t="n">
        <x:v>28</x:v>
      </x:c>
      <x:c r="H180" s="17" t="str">
        <x:v>SAMSUNG</x:v>
      </x:c>
      <x:c r="I180" s="17" t="str">
        <x:v>Telefon</x:v>
      </x:c>
      <x:c r="J180" s="17" t="str">
        <x:v>Cep Telefonları</x:v>
      </x:c>
      <x:c r="K180" s="17" t="str">
        <x:v>SAMSUNG Galaxy S26 Ultra 5G 12/512 GB Akıllı Telefon Kobalt Siyah</x:v>
      </x:c>
      <x:c r="L180" s="17" t="str">
        <x:v>1252473</x:v>
      </x:c>
      <x:c r="M180" s="22" t="n">
        <x:v>50210</x:v>
      </x:c>
      <x:c r="N180" s="26" t="n">
        <x:v>-18.9</x:v>
      </x:c>
      <x:c r="O180" s="22" t="n">
        <x:v>197</x:v>
      </x:c>
      <x:c r="P180" s="22" t="n">
        <x:v>247</x:v>
      </x:c>
      <x:c r="Q180" s="22" t="n">
        <x:v>0</x:v>
      </x:c>
      <x:c r="R180" s="17" t="n">
        <x:v>21</x:v>
      </x:c>
      <x:c r="S180" s="22" t="n">
        <x:v>17</x:v>
      </x:c>
      <x:c r="T180" s="24" t="n">
        <x:v>0.7</x:v>
      </x:c>
      <x:c r="U180" s="24" t="n">
        <x:f>IFERROR(O180/T180,0)</x:f>
        <x:v>281.42857142857144</x:v>
      </x:c>
      <x:c r="V180" s="17" t="str">
        <x:f>IF(O180&lt;=0,"out_of_stock",IF(U180&lt;7,"critical_low_stock",IF(U180&gt;60,"overstock","in_stock")))</x:f>
        <x:v>overstock</x:v>
      </x:c>
      <x:c r="W180" s="17" t="str">
        <x:f>IF(O180&lt;=0,"OOS",IF(AND(U180&lt;7,AC180&gt;=0.5),"High Risk",IF(U180&lt;14,"Medium Risk",IF(U180&gt;60,"Overstock","Healthy"))))</x:f>
        <x:v>Overstock</x:v>
      </x:c>
      <x:c r="X180" s="22" t="n">
        <x:v>696</x:v>
      </x:c>
      <x:c r="Y180" s="22" t="n">
        <x:v>80</x:v>
      </x:c>
      <x:c r="Z180" s="22" t="n">
        <x:v>3</x:v>
      </x:c>
      <x:c r="AA180" s="24" t="n">
        <x:f>IFERROR(Y180/X180*100,0)</x:f>
        <x:v>11.494252873563218</x:v>
      </x:c>
      <x:c r="AB180" s="26" t="n">
        <x:v>-68.2</x:v>
      </x:c>
      <x:c r="AC180" s="24" t="n">
        <x:f>IFERROR(Z180/X180*100,0)</x:f>
        <x:v>0.43103448275862066</x:v>
      </x:c>
      <x:c r="AD180" s="26" t="n">
        <x:v>-28.7</x:v>
      </x:c>
      <x:c r="AE180" s="22" t="n">
        <x:f>IFERROR(Z180*M180,0)</x:f>
        <x:v>150630</x:v>
      </x:c>
      <x:c r="AF180" s="26" t="n">
        <x:v>-46.1</x:v>
      </x:c>
      <x:c r="AG180" s="24" t="n">
        <x:v>43.1</x:v>
      </x:c>
      <x:c r="AH180" s="26" t="n">
        <x:v>13.1</x:v>
      </x:c>
      <x:c r="AI180" s="22" t="n">
        <x:v>28</x:v>
      </x:c>
      <x:c r="AJ180" s="22" t="n">
        <x:v>21</x:v>
      </x:c>
      <x:c r="AK180" s="22" t="n">
        <x:v>14</x:v>
      </x:c>
      <x:c r="AL180" s="22" t="n">
        <x:v>10</x:v>
      </x:c>
      <x:c r="AM180" s="22" t="n">
        <x:v>7</x:v>
      </x:c>
      <x:c r="AN180" s="24" t="n">
        <x:f>IFERROR(AI180/X180*100,0)</x:f>
        <x:v>4.022988505747127</x:v>
      </x:c>
      <x:c r="AO180" s="24" t="n">
        <x:f>IFERROR(AJ180/X180*100,0)</x:f>
        <x:v>3.0172413793103448</x:v>
      </x:c>
      <x:c r="AP180" s="24" t="n">
        <x:f>IFERROR(AK180/X180*100,0)</x:f>
        <x:v>2.0114942528735633</x:v>
      </x:c>
      <x:c r="AQ180" s="24" t="n">
        <x:f>IFERROR(AL180/X180*100,0)</x:f>
        <x:v>1.4367816091954022</x:v>
      </x:c>
      <x:c r="AR180" s="24" t="n">
        <x:f>IFERROR(AM180/X180*100,0)</x:f>
        <x:v>1.0057471264367817</x:v>
      </x:c>
      <x:c r="AS180" s="24" t="n">
        <x:f>IFERROR(Z180/X180*100,0)</x:f>
        <x:v>0.43103448275862066</x:v>
      </x:c>
      <x:c r="AT180" s="26" t="n">
        <x:v>2.4</x:v>
      </x:c>
      <x:c r="AU180" s="26" t="n">
        <x:v>-68.2</x:v>
      </x:c>
      <x:c r="AV180" s="26" t="n">
        <x:v>-42</x:v>
      </x:c>
      <x:c r="AW180" s="26" t="n">
        <x:v>-32.3</x:v>
      </x:c>
      <x:c r="AX180" s="26" t="n">
        <x:v>18</x:v>
      </x:c>
      <x:c r="AY180" s="26" t="n">
        <x:v>16.9</x:v>
      </x:c>
      <x:c r="AZ180" s="26" t="n">
        <x:v>-12.7</x:v>
      </x:c>
      <x:c r="BA180" s="26" t="n">
        <x:v>-28.7</x:v>
      </x:c>
      <x:c r="BB180" s="22" t="n">
        <x:f>IFERROR(AE180/Z180,0)</x:f>
        <x:v>50210</x:v>
      </x:c>
      <x:c r="BC180" s="17" t="n">
        <x:f>IF(OR(V180="out_of_stock",V180="critical_low_stock"),MAX(0,(14-U180)*T180),0)</x:f>
        <x:v>0</x:v>
      </x:c>
      <x:c r="BD180" s="22" t="n">
        <x:f>IFERROR(BC180*M180,0)</x:f>
        <x:v>0</x:v>
      </x:c>
      <x:c r="BE180" s="17" t="str">
        <x:v>mobile_funnel_behavior</x:v>
      </x:c>
      <x:c r="BF180" s="17" t="str">
        <x:v>inspired_by_uploaded_mobile_funnel_screenshot + copied_product_context</x:v>
      </x:c>
    </x:row>
    <x:row r="181">
      <x:c r="A181" s="17" t="n">
        <x:v>180</x:v>
      </x:c>
      <x:c r="B181" s="17" t="str">
        <x:v>MOBILE_EVENT_FUNNEL</x:v>
      </x:c>
      <x:c r="C181" s="20" t="n">
        <x:v>46153</x:v>
      </x:c>
      <x:c r="D181" s="17" t="str">
        <x:v>Mobile Web</x:v>
      </x:c>
      <x:c r="E181" s="17" t="str">
        <x:v>Mobile</x:v>
      </x:c>
      <x:c r="F181" s="17" t="str">
        <x:v>Direct</x:v>
      </x:c>
      <x:c r="G181" s="17" t="n">
        <x:v>28</x:v>
      </x:c>
      <x:c r="H181" s="17" t="str">
        <x:v>APPLE</x:v>
      </x:c>
      <x:c r="I181" s="17" t="str">
        <x:v>Telefon</x:v>
      </x:c>
      <x:c r="J181" s="17" t="str">
        <x:v>Cep Telefonları</x:v>
      </x:c>
      <x:c r="K181" s="17" t="str">
        <x:v>APPLE iPhone 15 128 GB Akıllı Telefon Pembe MTP13TU/A</x:v>
      </x:c>
      <x:c r="L181" s="17" t="str">
        <x:v>1232438</x:v>
      </x:c>
      <x:c r="M181" s="22" t="n">
        <x:v>41757</x:v>
      </x:c>
      <x:c r="N181" s="26" t="n">
        <x:v>16</x:v>
      </x:c>
      <x:c r="O181" s="22" t="n">
        <x:v>159</x:v>
      </x:c>
      <x:c r="P181" s="22" t="n">
        <x:v>85</x:v>
      </x:c>
      <x:c r="Q181" s="22" t="n">
        <x:v>0</x:v>
      </x:c>
      <x:c r="R181" s="17" t="n">
        <x:v>3</x:v>
      </x:c>
      <x:c r="S181" s="22" t="n">
        <x:v>8</x:v>
      </x:c>
      <x:c r="T181" s="24" t="n">
        <x:v>1.3</x:v>
      </x:c>
      <x:c r="U181" s="24" t="n">
        <x:f>IFERROR(O181/T181,0)</x:f>
        <x:v>122.3076923076923</x:v>
      </x:c>
      <x:c r="V181" s="17" t="str">
        <x:f>IF(O181&lt;=0,"out_of_stock",IF(U181&lt;7,"critical_low_stock",IF(U181&gt;60,"overstock","in_stock")))</x:f>
        <x:v>overstock</x:v>
      </x:c>
      <x:c r="W181" s="17" t="str">
        <x:f>IF(O181&lt;=0,"OOS",IF(AND(U181&lt;7,AC181&gt;=0.5),"High Risk",IF(U181&lt;14,"Medium Risk",IF(U181&gt;60,"Overstock","Healthy"))))</x:f>
        <x:v>Overstock</x:v>
      </x:c>
      <x:c r="X181" s="22" t="n">
        <x:v>1691</x:v>
      </x:c>
      <x:c r="Y181" s="22" t="n">
        <x:v>57</x:v>
      </x:c>
      <x:c r="Z181" s="22" t="n">
        <x:v>1</x:v>
      </x:c>
      <x:c r="AA181" s="24" t="n">
        <x:f>IFERROR(Y181/X181*100,0)</x:f>
        <x:v>3.3707865168539324</x:v>
      </x:c>
      <x:c r="AB181" s="26" t="n">
        <x:v>-85</x:v>
      </x:c>
      <x:c r="AC181" s="24" t="n">
        <x:f>IFERROR(Z181/X181*100,0)</x:f>
        <x:v>0.05913660555884093</x:v>
      </x:c>
      <x:c r="AD181" s="26" t="n">
        <x:v>-55.1</x:v>
      </x:c>
      <x:c r="AE181" s="22" t="n">
        <x:f>IFERROR(Z181*M181,0)</x:f>
        <x:v>41757</x:v>
      </x:c>
      <x:c r="AF181" s="26" t="n">
        <x:v>-45.7</x:v>
      </x:c>
      <x:c r="AG181" s="24" t="n">
        <x:v>42.6</x:v>
      </x:c>
      <x:c r="AH181" s="26" t="n">
        <x:v>7.8</x:v>
      </x:c>
      <x:c r="AI181" s="22" t="n">
        <x:v>38</x:v>
      </x:c>
      <x:c r="AJ181" s="22" t="n">
        <x:v>12</x:v>
      </x:c>
      <x:c r="AK181" s="22" t="n">
        <x:v>7</x:v>
      </x:c>
      <x:c r="AL181" s="22" t="n">
        <x:v>5</x:v>
      </x:c>
      <x:c r="AM181" s="22" t="n">
        <x:v>1</x:v>
      </x:c>
      <x:c r="AN181" s="24" t="n">
        <x:f>IFERROR(AI181/X181*100,0)</x:f>
        <x:v>2.247191011235955</x:v>
      </x:c>
      <x:c r="AO181" s="24" t="n">
        <x:f>IFERROR(AJ181/X181*100,0)</x:f>
        <x:v>0.7096392667060911</x:v>
      </x:c>
      <x:c r="AP181" s="24" t="n">
        <x:f>IFERROR(AK181/X181*100,0)</x:f>
        <x:v>0.4139562389118865</x:v>
      </x:c>
      <x:c r="AQ181" s="24" t="n">
        <x:f>IFERROR(AL181/X181*100,0)</x:f>
        <x:v>0.29568302779420463</x:v>
      </x:c>
      <x:c r="AR181" s="24" t="n">
        <x:f>IFERROR(AM181/X181*100,0)</x:f>
        <x:v>0.05913660555884093</x:v>
      </x:c>
      <x:c r="AS181" s="24" t="n">
        <x:f>IFERROR(Z181/X181*100,0)</x:f>
        <x:v>0.05913660555884093</x:v>
      </x:c>
      <x:c r="AT181" s="26" t="n">
        <x:v>-11.3</x:v>
      </x:c>
      <x:c r="AU181" s="26" t="n">
        <x:v>-85</x:v>
      </x:c>
      <x:c r="AV181" s="26" t="n">
        <x:v>-36.7</x:v>
      </x:c>
      <x:c r="AW181" s="26" t="n">
        <x:v>-26.1</x:v>
      </x:c>
      <x:c r="AX181" s="26" t="n">
        <x:v>-26.7</x:v>
      </x:c>
      <x:c r="AY181" s="26" t="n">
        <x:v>-27.3</x:v>
      </x:c>
      <x:c r="AZ181" s="26" t="n">
        <x:v>-33.4</x:v>
      </x:c>
      <x:c r="BA181" s="26" t="n">
        <x:v>-55.1</x:v>
      </x:c>
      <x:c r="BB181" s="22" t="n">
        <x:f>IFERROR(AE181/Z181,0)</x:f>
        <x:v>41757</x:v>
      </x:c>
      <x:c r="BC181" s="17" t="n">
        <x:f>IF(OR(V181="out_of_stock",V181="critical_low_stock"),MAX(0,(14-U181)*T181),0)</x:f>
        <x:v>0</x:v>
      </x:c>
      <x:c r="BD181" s="22" t="n">
        <x:f>IFERROR(BC181*M181,0)</x:f>
        <x:v>0</x:v>
      </x:c>
      <x:c r="BE181" s="17" t="str">
        <x:v>mobile_funnel_behavior</x:v>
      </x:c>
      <x:c r="BF181" s="17" t="str">
        <x:v>inspired_by_uploaded_mobile_funnel_screenshot + copied_product_context</x:v>
      </x:c>
    </x:row>
    <x:row r="182">
      <x:c r="A182" s="17" t="n">
        <x:v>181</x:v>
      </x:c>
      <x:c r="B182" s="17" t="str">
        <x:v>MOBILE_EVENT_FUNNEL</x:v>
      </x:c>
      <x:c r="C182" s="20" t="n">
        <x:v>46154</x:v>
      </x:c>
      <x:c r="D182" s="17" t="str">
        <x:v>Mobile Web</x:v>
      </x:c>
      <x:c r="E182" s="17" t="str">
        <x:v>Mobile</x:v>
      </x:c>
      <x:c r="F182" s="17" t="str">
        <x:v>Affiliate</x:v>
      </x:c>
      <x:c r="G182" s="17" t="n">
        <x:v>28</x:v>
      </x:c>
      <x:c r="H182" s="17" t="str">
        <x:v>XIAOMI</x:v>
      </x:c>
      <x:c r="I182" s="17" t="str">
        <x:v>Telefon</x:v>
      </x:c>
      <x:c r="J182" s="17" t="str">
        <x:v>Cep Telefonları</x:v>
      </x:c>
      <x:c r="K182" s="17" t="str">
        <x:v>XIAOMI Redmi Note 15 Pro 8/256GB Akıllı Telefon Titanium</x:v>
      </x:c>
      <x:c r="L182" s="17" t="str">
        <x:v>1251728</x:v>
      </x:c>
      <x:c r="M182" s="22" t="n">
        <x:v>11425</x:v>
      </x:c>
      <x:c r="N182" s="26" t="n">
        <x:v>9</x:v>
      </x:c>
      <x:c r="O182" s="22" t="n">
        <x:v>89</x:v>
      </x:c>
      <x:c r="P182" s="22" t="n">
        <x:v>122</x:v>
      </x:c>
      <x:c r="Q182" s="22" t="n">
        <x:v>0</x:v>
      </x:c>
      <x:c r="R182" s="17" t="n">
        <x:v>14</x:v>
      </x:c>
      <x:c r="S182" s="22" t="n">
        <x:v>19</x:v>
      </x:c>
      <x:c r="T182" s="24" t="n">
        <x:v>1.1</x:v>
      </x:c>
      <x:c r="U182" s="24" t="n">
        <x:f>IFERROR(O182/T182,0)</x:f>
        <x:v>80.9090909090909</x:v>
      </x:c>
      <x:c r="V182" s="17" t="str">
        <x:f>IF(O182&lt;=0,"out_of_stock",IF(U182&lt;7,"critical_low_stock",IF(U182&gt;60,"overstock","in_stock")))</x:f>
        <x:v>overstock</x:v>
      </x:c>
      <x:c r="W182" s="17" t="str">
        <x:f>IF(O182&lt;=0,"OOS",IF(AND(U182&lt;7,AC182&gt;=0.5),"High Risk",IF(U182&lt;14,"Medium Risk",IF(U182&gt;60,"Overstock","Healthy"))))</x:f>
        <x:v>Overstock</x:v>
      </x:c>
      <x:c r="X182" s="22" t="n">
        <x:v>557</x:v>
      </x:c>
      <x:c r="Y182" s="22" t="n">
        <x:v>20</x:v>
      </x:c>
      <x:c r="Z182" s="22" t="n">
        <x:v>1</x:v>
      </x:c>
      <x:c r="AA182" s="24" t="n">
        <x:f>IFERROR(Y182/X182*100,0)</x:f>
        <x:v>3.5906642728904847</x:v>
      </x:c>
      <x:c r="AB182" s="26" t="n">
        <x:v>-40.3</x:v>
      </x:c>
      <x:c r="AC182" s="24" t="n">
        <x:f>IFERROR(Z182/X182*100,0)</x:f>
        <x:v>0.17953321364452424</x:v>
      </x:c>
      <x:c r="AD182" s="26" t="n">
        <x:v>-61.2</x:v>
      </x:c>
      <x:c r="AE182" s="22" t="n">
        <x:f>IFERROR(Z182*M182,0)</x:f>
        <x:v>11425</x:v>
      </x:c>
      <x:c r="AF182" s="26" t="n">
        <x:v>-49.2</x:v>
      </x:c>
      <x:c r="AG182" s="24" t="n">
        <x:v>36.4</x:v>
      </x:c>
      <x:c r="AH182" s="26" t="n">
        <x:v>12.4</x:v>
      </x:c>
      <x:c r="AI182" s="22" t="n">
        <x:v>11</x:v>
      </x:c>
      <x:c r="AJ182" s="22" t="n">
        <x:v>4</x:v>
      </x:c>
      <x:c r="AK182" s="22" t="n">
        <x:v>2</x:v>
      </x:c>
      <x:c r="AL182" s="22" t="n">
        <x:v>2</x:v>
      </x:c>
      <x:c r="AM182" s="22" t="n">
        <x:v>2</x:v>
      </x:c>
      <x:c r="AN182" s="24" t="n">
        <x:f>IFERROR(AI182/X182*100,0)</x:f>
        <x:v>1.9748653500897666</x:v>
      </x:c>
      <x:c r="AO182" s="24" t="n">
        <x:f>IFERROR(AJ182/X182*100,0)</x:f>
        <x:v>0.718132854578097</x:v>
      </x:c>
      <x:c r="AP182" s="24" t="n">
        <x:f>IFERROR(AK182/X182*100,0)</x:f>
        <x:v>0.3590664272890485</x:v>
      </x:c>
      <x:c r="AQ182" s="24" t="n">
        <x:f>IFERROR(AL182/X182*100,0)</x:f>
        <x:v>0.3590664272890485</x:v>
      </x:c>
      <x:c r="AR182" s="24" t="n">
        <x:f>IFERROR(AM182/X182*100,0)</x:f>
        <x:v>0.3590664272890485</x:v>
      </x:c>
      <x:c r="AS182" s="24" t="n">
        <x:f>IFERROR(Z182/X182*100,0)</x:f>
        <x:v>0.17953321364452424</x:v>
      </x:c>
      <x:c r="AT182" s="26" t="n">
        <x:v>-1.9</x:v>
      </x:c>
      <x:c r="AU182" s="26" t="n">
        <x:v>-40.3</x:v>
      </x:c>
      <x:c r="AV182" s="26" t="n">
        <x:v>-38.1</x:v>
      </x:c>
      <x:c r="AW182" s="26" t="n">
        <x:v>-33.2</x:v>
      </x:c>
      <x:c r="AX182" s="26" t="n">
        <x:v>-26.9</x:v>
      </x:c>
      <x:c r="AY182" s="26" t="n">
        <x:v>-32.4</x:v>
      </x:c>
      <x:c r="AZ182" s="26" t="n">
        <x:v>6.8</x:v>
      </x:c>
      <x:c r="BA182" s="26" t="n">
        <x:v>-61.2</x:v>
      </x:c>
      <x:c r="BB182" s="22" t="n">
        <x:f>IFERROR(AE182/Z182,0)</x:f>
        <x:v>11425</x:v>
      </x:c>
      <x:c r="BC182" s="17" t="n">
        <x:f>IF(OR(V182="out_of_stock",V182="critical_low_stock"),MAX(0,(14-U182)*T182),0)</x:f>
        <x:v>0</x:v>
      </x:c>
      <x:c r="BD182" s="22" t="n">
        <x:f>IFERROR(BC182*M182,0)</x:f>
        <x:v>0</x:v>
      </x:c>
      <x:c r="BE182" s="17" t="str">
        <x:v>mobile_funnel_behavior</x:v>
      </x:c>
      <x:c r="BF182" s="17" t="str">
        <x:v>inspired_by_uploaded_mobile_funnel_screenshot + copied_product_context</x:v>
      </x:c>
    </x:row>
    <x:row r="183">
      <x:c r="A183" s="17" t="n">
        <x:v>182</x:v>
      </x:c>
      <x:c r="B183" s="17" t="str">
        <x:v>MOBILE_EVENT_FUNNEL</x:v>
      </x:c>
      <x:c r="C183" s="20" t="n">
        <x:v>46155</x:v>
      </x:c>
      <x:c r="D183" s="17" t="str">
        <x:v>Mobile Web</x:v>
      </x:c>
      <x:c r="E183" s="17" t="str">
        <x:v>Mobile</x:v>
      </x:c>
      <x:c r="F183" s="17" t="str">
        <x:v>Affiliate</x:v>
      </x:c>
      <x:c r="G183" s="17" t="n">
        <x:v>99</x:v>
      </x:c>
      <x:c r="H183" s="17" t="str">
        <x:v>STANLEY</x:v>
      </x:c>
      <x:c r="I183" s="17" t="str">
        <x:v>Other</x:v>
      </x:c>
      <x:c r="J183" s="17" t="str">
        <x:v>Other</x:v>
      </x:c>
      <x:c r="K183" s="17" t="str">
        <x:v>STANLEY The Quick-Flip Water Bottle .47L / 16oz Termos Azure</x:v>
      </x:c>
      <x:c r="L183" s="17" t="str">
        <x:v>1238779</x:v>
      </x:c>
      <x:c r="M183" s="22" t="n">
        <x:v>2699</x:v>
      </x:c>
      <x:c r="N183" s="26" t="n">
        <x:v>-16.3</x:v>
      </x:c>
      <x:c r="O183" s="22" t="n">
        <x:v>46</x:v>
      </x:c>
      <x:c r="P183" s="22" t="n">
        <x:v>13</x:v>
      </x:c>
      <x:c r="Q183" s="22" t="n">
        <x:v>0</x:v>
      </x:c>
      <x:c r="R183" s="17" t="n">
        <x:v>5</x:v>
      </x:c>
      <x:c r="S183" s="22" t="n">
        <x:v>11</x:v>
      </x:c>
      <x:c r="T183" s="24" t="n">
        <x:v>1.3</x:v>
      </x:c>
      <x:c r="U183" s="24" t="n">
        <x:f>IFERROR(O183/T183,0)</x:f>
        <x:v>35.38461538461539</x:v>
      </x:c>
      <x:c r="V183" s="17" t="str">
        <x:f>IF(O183&lt;=0,"out_of_stock",IF(U183&lt;7,"critical_low_stock",IF(U183&gt;60,"overstock","in_stock")))</x:f>
        <x:v>in_stock</x:v>
      </x:c>
      <x:c r="W183" s="17" t="str">
        <x:f>IF(O183&lt;=0,"OOS",IF(AND(U183&lt;7,AC183&gt;=0.5),"High Risk",IF(U183&lt;14,"Medium Risk",IF(U183&gt;60,"Overstock","Healthy"))))</x:f>
        <x:v>Healthy</x:v>
      </x:c>
      <x:c r="X183" s="22" t="n">
        <x:v>396</x:v>
      </x:c>
      <x:c r="Y183" s="22" t="n">
        <x:v>14</x:v>
      </x:c>
      <x:c r="Z183" s="22" t="n">
        <x:v>1</x:v>
      </x:c>
      <x:c r="AA183" s="24" t="n">
        <x:f>IFERROR(Y183/X183*100,0)</x:f>
        <x:v>3.535353535353535</x:v>
      </x:c>
      <x:c r="AB183" s="26" t="n">
        <x:v>-45.6</x:v>
      </x:c>
      <x:c r="AC183" s="24" t="n">
        <x:f>IFERROR(Z183/X183*100,0)</x:f>
        <x:v>0.25252525252525254</x:v>
      </x:c>
      <x:c r="AD183" s="26" t="n">
        <x:v>-33.6</x:v>
      </x:c>
      <x:c r="AE183" s="22" t="n">
        <x:f>IFERROR(Z183*M183,0)</x:f>
        <x:v>2699</x:v>
      </x:c>
      <x:c r="AF183" s="26" t="n">
        <x:v>-49.4</x:v>
      </x:c>
      <x:c r="AG183" s="24" t="n">
        <x:v>43.9</x:v>
      </x:c>
      <x:c r="AH183" s="26" t="n">
        <x:v>11.9</x:v>
      </x:c>
      <x:c r="AI183" s="22" t="n">
        <x:v>9</x:v>
      </x:c>
      <x:c r="AJ183" s="22" t="n">
        <x:v>4</x:v>
      </x:c>
      <x:c r="AK183" s="22" t="n">
        <x:v>3</x:v>
      </x:c>
      <x:c r="AL183" s="22" t="n">
        <x:v>3</x:v>
      </x:c>
      <x:c r="AM183" s="22" t="n">
        <x:v>2</x:v>
      </x:c>
      <x:c r="AN183" s="24" t="n">
        <x:f>IFERROR(AI183/X183*100,0)</x:f>
        <x:v>2.272727272727273</x:v>
      </x:c>
      <x:c r="AO183" s="24" t="n">
        <x:f>IFERROR(AJ183/X183*100,0)</x:f>
        <x:v>1.0101010101010102</x:v>
      </x:c>
      <x:c r="AP183" s="24" t="n">
        <x:f>IFERROR(AK183/X183*100,0)</x:f>
        <x:v>0.7575757575757576</x:v>
      </x:c>
      <x:c r="AQ183" s="24" t="n">
        <x:f>IFERROR(AL183/X183*100,0)</x:f>
        <x:v>0.7575757575757576</x:v>
      </x:c>
      <x:c r="AR183" s="24" t="n">
        <x:f>IFERROR(AM183/X183*100,0)</x:f>
        <x:v>0.5050505050505051</x:v>
      </x:c>
      <x:c r="AS183" s="24" t="n">
        <x:f>IFERROR(Z183/X183*100,0)</x:f>
        <x:v>0.25252525252525254</x:v>
      </x:c>
      <x:c r="AT183" s="26" t="n">
        <x:v>10.9</x:v>
      </x:c>
      <x:c r="AU183" s="26" t="n">
        <x:v>-45.6</x:v>
      </x:c>
      <x:c r="AV183" s="26" t="n">
        <x:v>-50.5</x:v>
      </x:c>
      <x:c r="AW183" s="26" t="n">
        <x:v>-56.8</x:v>
      </x:c>
      <x:c r="AX183" s="26" t="n">
        <x:v>-0.1</x:v>
      </x:c>
      <x:c r="AY183" s="26" t="n">
        <x:v>-10.1</x:v>
      </x:c>
      <x:c r="AZ183" s="26" t="n">
        <x:v>-18.1</x:v>
      </x:c>
      <x:c r="BA183" s="26" t="n">
        <x:v>-33.6</x:v>
      </x:c>
      <x:c r="BB183" s="22" t="n">
        <x:f>IFERROR(AE183/Z183,0)</x:f>
        <x:v>2699</x:v>
      </x:c>
      <x:c r="BC183" s="17" t="n">
        <x:f>IF(OR(V183="out_of_stock",V183="critical_low_stock"),MAX(0,(14-U183)*T183),0)</x:f>
        <x:v>0</x:v>
      </x:c>
      <x:c r="BD183" s="22" t="n">
        <x:f>IFERROR(BC183*M183,0)</x:f>
        <x:v>0</x:v>
      </x:c>
      <x:c r="BE183" s="17" t="str">
        <x:v>mobile_funnel_behavior</x:v>
      </x:c>
      <x:c r="BF183" s="17" t="str">
        <x:v>inspired_by_uploaded_mobile_funnel_screenshot + copied_product_context</x:v>
      </x:c>
    </x:row>
    <x:row r="184">
      <x:c r="A184" s="17" t="n">
        <x:v>183</x:v>
      </x:c>
      <x:c r="B184" s="17" t="str">
        <x:v>MOBILE_EVENT_FUNNEL</x:v>
      </x:c>
      <x:c r="C184" s="20" t="n">
        <x:v>46156</x:v>
      </x:c>
      <x:c r="D184" s="17" t="str">
        <x:v>Mobile Web</x:v>
      </x:c>
      <x:c r="E184" s="17" t="str">
        <x:v>Mobile</x:v>
      </x:c>
      <x:c r="F184" s="17" t="str">
        <x:v>Search Paid Generic</x:v>
      </x:c>
      <x:c r="G184" s="17" t="n">
        <x:v>28</x:v>
      </x:c>
      <x:c r="H184" s="17" t="str">
        <x:v>APPLE</x:v>
      </x:c>
      <x:c r="I184" s="17" t="str">
        <x:v>Telefon</x:v>
      </x:c>
      <x:c r="J184" s="17" t="str">
        <x:v>Cep Telefonları</x:v>
      </x:c>
      <x:c r="K184" s="17" t="str">
        <x:v>APPLE iPhone 15 128 GB Akıllı Telefon Siyah MTP03TU/A</x:v>
      </x:c>
      <x:c r="L184" s="17" t="str">
        <x:v>1232435</x:v>
      </x:c>
      <x:c r="M184" s="22" t="n">
        <x:v>37648</x:v>
      </x:c>
      <x:c r="N184" s="26" t="n">
        <x:v>-18.7</x:v>
      </x:c>
      <x:c r="O184" s="22" t="n">
        <x:v>15</x:v>
      </x:c>
      <x:c r="P184" s="22" t="n">
        <x:v>22</x:v>
      </x:c>
      <x:c r="Q184" s="22" t="n">
        <x:v>0</x:v>
      </x:c>
      <x:c r="R184" s="17" t="n">
        <x:v>10</x:v>
      </x:c>
      <x:c r="S184" s="22" t="n">
        <x:v>29</x:v>
      </x:c>
      <x:c r="T184" s="24" t="n">
        <x:v>2.2</x:v>
      </x:c>
      <x:c r="U184" s="24" t="n">
        <x:f>IFERROR(O184/T184,0)</x:f>
        <x:v>6.8181818181818175</x:v>
      </x:c>
      <x:c r="V184" s="17" t="str">
        <x:f>IF(O184&lt;=0,"out_of_stock",IF(U184&lt;7,"critical_low_stock",IF(U184&gt;60,"overstock","in_stock")))</x:f>
        <x:v>critical_low_stock</x:v>
      </x:c>
      <x:c r="W184" s="17" t="str">
        <x:f>IF(O184&lt;=0,"OOS",IF(AND(U184&lt;7,AC184&gt;=0.5),"High Risk",IF(U184&lt;14,"Medium Risk",IF(U184&gt;60,"Overstock","Healthy"))))</x:f>
        <x:v>Medium Risk</x:v>
      </x:c>
      <x:c r="X184" s="22" t="n">
        <x:v>3152</x:v>
      </x:c>
      <x:c r="Y184" s="22" t="n">
        <x:v>156</x:v>
      </x:c>
      <x:c r="Z184" s="22" t="n">
        <x:v>9</x:v>
      </x:c>
      <x:c r="AA184" s="24" t="n">
        <x:f>IFERROR(Y184/X184*100,0)</x:f>
        <x:v>4.949238578680204</x:v>
      </x:c>
      <x:c r="AB184" s="26" t="n">
        <x:v>-37.4</x:v>
      </x:c>
      <x:c r="AC184" s="24" t="n">
        <x:f>IFERROR(Z184/X184*100,0)</x:f>
        <x:v>0.28553299492385786</x:v>
      </x:c>
      <x:c r="AD184" s="26" t="n">
        <x:v>-77</x:v>
      </x:c>
      <x:c r="AE184" s="22" t="n">
        <x:f>IFERROR(Z184*M184,0)</x:f>
        <x:v>338832</x:v>
      </x:c>
      <x:c r="AF184" s="26" t="n">
        <x:v>-88.6</x:v>
      </x:c>
      <x:c r="AG184" s="24" t="n">
        <x:v>49.5</x:v>
      </x:c>
      <x:c r="AH184" s="26" t="n">
        <x:v>12.4</x:v>
      </x:c>
      <x:c r="AI184" s="22" t="n">
        <x:v>124</x:v>
      </x:c>
      <x:c r="AJ184" s="22" t="n">
        <x:v>63</x:v>
      </x:c>
      <x:c r="AK184" s="22" t="n">
        <x:v>32</x:v>
      </x:c>
      <x:c r="AL184" s="22" t="n">
        <x:v>26</x:v>
      </x:c>
      <x:c r="AM184" s="22" t="n">
        <x:v>19</x:v>
      </x:c>
      <x:c r="AN184" s="24" t="n">
        <x:f>IFERROR(AI184/X184*100,0)</x:f>
        <x:v>3.934010152284264</x:v>
      </x:c>
      <x:c r="AO184" s="24" t="n">
        <x:f>IFERROR(AJ184/X184*100,0)</x:f>
        <x:v>1.9987309644670053</x:v>
      </x:c>
      <x:c r="AP184" s="24" t="n">
        <x:f>IFERROR(AK184/X184*100,0)</x:f>
        <x:v>1.015228426395939</x:v>
      </x:c>
      <x:c r="AQ184" s="24" t="n">
        <x:f>IFERROR(AL184/X184*100,0)</x:f>
        <x:v>0.8248730964467006</x:v>
      </x:c>
      <x:c r="AR184" s="24" t="n">
        <x:f>IFERROR(AM184/X184*100,0)</x:f>
        <x:v>0.6027918781725888</x:v>
      </x:c>
      <x:c r="AS184" s="24" t="n">
        <x:f>IFERROR(Z184/X184*100,0)</x:f>
        <x:v>0.28553299492385786</x:v>
      </x:c>
      <x:c r="AT184" s="26" t="n">
        <x:v>-8.7</x:v>
      </x:c>
      <x:c r="AU184" s="26" t="n">
        <x:v>-37.4</x:v>
      </x:c>
      <x:c r="AV184" s="26" t="n">
        <x:v>-43</x:v>
      </x:c>
      <x:c r="AW184" s="26" t="n">
        <x:v>-42.8</x:v>
      </x:c>
      <x:c r="AX184" s="26" t="n">
        <x:v>-5.8</x:v>
      </x:c>
      <x:c r="AY184" s="26" t="n">
        <x:v>3.5</x:v>
      </x:c>
      <x:c r="AZ184" s="26" t="n">
        <x:v>-26.1</x:v>
      </x:c>
      <x:c r="BA184" s="26" t="n">
        <x:v>-77</x:v>
      </x:c>
      <x:c r="BB184" s="22" t="n">
        <x:f>IFERROR(AE184/Z184,0)</x:f>
        <x:v>37648</x:v>
      </x:c>
      <x:c r="BC184" s="17" t="n">
        <x:f>IF(OR(V184="out_of_stock",V184="critical_low_stock"),MAX(0,(14-U184)*T184),0)</x:f>
        <x:v>15.800000000000002</x:v>
      </x:c>
      <x:c r="BD184" s="22" t="n">
        <x:f>IFERROR(BC184*M184,0)</x:f>
        <x:v>594838.4000000001</x:v>
      </x:c>
      <x:c r="BE184" s="17" t="str">
        <x:v>mobile_funnel_behavior</x:v>
      </x:c>
      <x:c r="BF184" s="17" t="str">
        <x:v>inspired_by_uploaded_mobile_funnel_screenshot + copied_product_context</x:v>
      </x:c>
    </x:row>
    <x:row r="185">
      <x:c r="A185" s="17" t="n">
        <x:v>184</x:v>
      </x:c>
      <x:c r="B185" s="17" t="str">
        <x:v>MOBILE_EVENT_FUNNEL</x:v>
      </x:c>
      <x:c r="C185" s="20" t="n">
        <x:v>46143</x:v>
      </x:c>
      <x:c r="D185" s="17" t="str">
        <x:v>Mobile Web</x:v>
      </x:c>
      <x:c r="E185" s="17" t="str">
        <x:v>Mobile</x:v>
      </x:c>
      <x:c r="F185" s="17" t="str">
        <x:v>Search Paid Brand</x:v>
      </x:c>
      <x:c r="G185" s="17" t="n">
        <x:v>28</x:v>
      </x:c>
      <x:c r="H185" s="17" t="str">
        <x:v>SAMSUNG</x:v>
      </x:c>
      <x:c r="I185" s="17" t="str">
        <x:v>Telefon</x:v>
      </x:c>
      <x:c r="J185" s="17" t="str">
        <x:v>Cep Telefonları</x:v>
      </x:c>
      <x:c r="K185" s="17" t="str">
        <x:v>SAMSUNG Galaxy A17 5G 8/256GB Akıllı Telefon Siyah</x:v>
      </x:c>
      <x:c r="L185" s="17" t="str">
        <x:v>1248870</x:v>
      </x:c>
      <x:c r="M185" s="22" t="n">
        <x:v>27339</x:v>
      </x:c>
      <x:c r="N185" s="26" t="n">
        <x:v>20.7</x:v>
      </x:c>
      <x:c r="O185" s="22" t="n">
        <x:v>206</x:v>
      </x:c>
      <x:c r="P185" s="22" t="n">
        <x:v>255</x:v>
      </x:c>
      <x:c r="Q185" s="22" t="n">
        <x:v>0</x:v>
      </x:c>
      <x:c r="R185" s="17" t="n">
        <x:v>5</x:v>
      </x:c>
      <x:c r="S185" s="22" t="n">
        <x:v>7</x:v>
      </x:c>
      <x:c r="T185" s="24" t="n">
        <x:v>0.8</x:v>
      </x:c>
      <x:c r="U185" s="24" t="n">
        <x:f>IFERROR(O185/T185,0)</x:f>
        <x:v>257.5</x:v>
      </x:c>
      <x:c r="V185" s="17" t="str">
        <x:f>IF(O185&lt;=0,"out_of_stock",IF(U185&lt;7,"critical_low_stock",IF(U185&gt;60,"overstock","in_stock")))</x:f>
        <x:v>overstock</x:v>
      </x:c>
      <x:c r="W185" s="17" t="str">
        <x:f>IF(O185&lt;=0,"OOS",IF(AND(U185&lt;7,AC185&gt;=0.5),"High Risk",IF(U185&lt;14,"Medium Risk",IF(U185&gt;60,"Overstock","Healthy"))))</x:f>
        <x:v>Overstock</x:v>
      </x:c>
      <x:c r="X185" s="22" t="n">
        <x:v>197</x:v>
      </x:c>
      <x:c r="Y185" s="22" t="n">
        <x:v>6</x:v>
      </x:c>
      <x:c r="Z185" s="22" t="n">
        <x:v>1</x:v>
      </x:c>
      <x:c r="AA185" s="24" t="n">
        <x:f>IFERROR(Y185/X185*100,0)</x:f>
        <x:v>3.0456852791878175</x:v>
      </x:c>
      <x:c r="AB185" s="26" t="n">
        <x:v>-29.7</x:v>
      </x:c>
      <x:c r="AC185" s="24" t="n">
        <x:f>IFERROR(Z185/X185*100,0)</x:f>
        <x:v>0.5076142131979695</x:v>
      </x:c>
      <x:c r="AD185" s="26" t="n">
        <x:v>-4.4</x:v>
      </x:c>
      <x:c r="AE185" s="22" t="n">
        <x:f>IFERROR(Z185*M185,0)</x:f>
        <x:v>27339</x:v>
      </x:c>
      <x:c r="AF185" s="26" t="n">
        <x:v>12</x:v>
      </x:c>
      <x:c r="AG185" s="24" t="n">
        <x:v>51.5</x:v>
      </x:c>
      <x:c r="AH185" s="26" t="n">
        <x:v>7.6</x:v>
      </x:c>
      <x:c r="AI185" s="22" t="n">
        <x:v>2</x:v>
      </x:c>
      <x:c r="AJ185" s="22" t="n">
        <x:v>1</x:v>
      </x:c>
      <x:c r="AK185" s="22" t="n">
        <x:v>1</x:v>
      </x:c>
      <x:c r="AL185" s="22" t="n">
        <x:v>1</x:v>
      </x:c>
      <x:c r="AM185" s="22" t="n">
        <x:v>1</x:v>
      </x:c>
      <x:c r="AN185" s="24" t="n">
        <x:f>IFERROR(AI185/X185*100,0)</x:f>
        <x:v>1.015228426395939</x:v>
      </x:c>
      <x:c r="AO185" s="24" t="n">
        <x:f>IFERROR(AJ185/X185*100,0)</x:f>
        <x:v>0.5076142131979695</x:v>
      </x:c>
      <x:c r="AP185" s="24" t="n">
        <x:f>IFERROR(AK185/X185*100,0)</x:f>
        <x:v>0.5076142131979695</x:v>
      </x:c>
      <x:c r="AQ185" s="24" t="n">
        <x:f>IFERROR(AL185/X185*100,0)</x:f>
        <x:v>0.5076142131979695</x:v>
      </x:c>
      <x:c r="AR185" s="24" t="n">
        <x:f>IFERROR(AM185/X185*100,0)</x:f>
        <x:v>0.5076142131979695</x:v>
      </x:c>
      <x:c r="AS185" s="24" t="n">
        <x:f>IFERROR(Z185/X185*100,0)</x:f>
        <x:v>0.5076142131979695</x:v>
      </x:c>
      <x:c r="AT185" s="26" t="n">
        <x:v>15.6</x:v>
      </x:c>
      <x:c r="AU185" s="26" t="n">
        <x:v>-29.7</x:v>
      </x:c>
      <x:c r="AV185" s="26" t="n">
        <x:v>-48.6</x:v>
      </x:c>
      <x:c r="AW185" s="26" t="n">
        <x:v>-5.2</x:v>
      </x:c>
      <x:c r="AX185" s="26" t="n">
        <x:v>-6.6</x:v>
      </x:c>
      <x:c r="AY185" s="26" t="n">
        <x:v>-53.1</x:v>
      </x:c>
      <x:c r="AZ185" s="26" t="n">
        <x:v>-39.3</x:v>
      </x:c>
      <x:c r="BA185" s="26" t="n">
        <x:v>-4.4</x:v>
      </x:c>
      <x:c r="BB185" s="22" t="n">
        <x:f>IFERROR(AE185/Z185,0)</x:f>
        <x:v>27339</x:v>
      </x:c>
      <x:c r="BC185" s="17" t="n">
        <x:f>IF(OR(V185="out_of_stock",V185="critical_low_stock"),MAX(0,(14-U185)*T185),0)</x:f>
        <x:v>0</x:v>
      </x:c>
      <x:c r="BD185" s="22" t="n">
        <x:f>IFERROR(BC185*M185,0)</x:f>
        <x:v>0</x:v>
      </x:c>
      <x:c r="BE185" s="17" t="str">
        <x:v>mobile_funnel_behavior</x:v>
      </x:c>
      <x:c r="BF185" s="17" t="str">
        <x:v>inspired_by_uploaded_mobile_funnel_screenshot + copied_product_context</x:v>
      </x:c>
    </x:row>
    <x:row r="186">
      <x:c r="A186" s="17" t="n">
        <x:v>185</x:v>
      </x:c>
      <x:c r="B186" s="17" t="str">
        <x:v>MOBILE_EVENT_FUNNEL</x:v>
      </x:c>
      <x:c r="C186" s="20" t="n">
        <x:v>46144</x:v>
      </x:c>
      <x:c r="D186" s="17" t="str">
        <x:v>Mobile Web</x:v>
      </x:c>
      <x:c r="E186" s="17" t="str">
        <x:v>Mobile</x:v>
      </x:c>
      <x:c r="F186" s="17" t="str">
        <x:v>Affiliate</x:v>
      </x:c>
      <x:c r="G186" s="17" t="n">
        <x:v>26</x:v>
      </x:c>
      <x:c r="H186" s="17" t="str">
        <x:v>LOGITECH</x:v>
      </x:c>
      <x:c r="I186" s="17" t="str">
        <x:v>Bilgisayar</x:v>
      </x:c>
      <x:c r="J186" s="17" t="str">
        <x:v>Oyuncu Aksesuarları</x:v>
      </x:c>
      <x:c r="K186" s="17" t="str">
        <x:v>LOGITECH G Pro X Superlight 2 Oyuncu Mouse Siyah</x:v>
      </x:c>
      <x:c r="L186" s="17" t="str">
        <x:v>SYN9002</x:v>
      </x:c>
      <x:c r="M186" s="22" t="n">
        <x:v>4821</x:v>
      </x:c>
      <x:c r="N186" s="26" t="n">
        <x:v>11.5</x:v>
      </x:c>
      <x:c r="O186" s="22" t="n">
        <x:v>0</x:v>
      </x:c>
      <x:c r="P186" s="22" t="n">
        <x:v>0</x:v>
      </x:c>
      <x:c r="Q186" s="22" t="n">
        <x:v>15</x:v>
      </x:c>
      <x:c r="R186" s="17" t="n">
        <x:v>3</x:v>
      </x:c>
      <x:c r="S186" s="22" t="n">
        <x:v>8</x:v>
      </x:c>
      <x:c r="T186" s="24" t="n">
        <x:v>1.3</x:v>
      </x:c>
      <x:c r="U186" s="24" t="n">
        <x:f>IFERROR(O186/T186,0)</x:f>
        <x:v>0</x:v>
      </x:c>
      <x:c r="V186" s="17" t="str">
        <x:f>IF(O186&lt;=0,"out_of_stock",IF(U186&lt;7,"critical_low_stock",IF(U186&gt;60,"overstock","in_stock")))</x:f>
        <x:v>out_of_stock</x:v>
      </x:c>
      <x:c r="W186" s="17" t="str">
        <x:f>IF(O186&lt;=0,"OOS",IF(AND(U186&lt;7,AC186&gt;=0.5),"High Risk",IF(U186&lt;14,"Medium Risk",IF(U186&gt;60,"Overstock","Healthy"))))</x:f>
        <x:v>OOS</x:v>
      </x:c>
      <x:c r="X186" s="22" t="n">
        <x:v>1051</x:v>
      </x:c>
      <x:c r="Y186" s="22" t="n">
        <x:v>95</x:v>
      </x:c>
      <x:c r="Z186" s="22" t="n">
        <x:v>3</x:v>
      </x:c>
      <x:c r="AA186" s="24" t="n">
        <x:f>IFERROR(Y186/X186*100,0)</x:f>
        <x:v>9.039010466222646</x:v>
      </x:c>
      <x:c r="AB186" s="26" t="n">
        <x:v>-15.1</x:v>
      </x:c>
      <x:c r="AC186" s="24" t="n">
        <x:f>IFERROR(Z186/X186*100,0)</x:f>
        <x:v>0.285442435775452</x:v>
      </x:c>
      <x:c r="AD186" s="26" t="n">
        <x:v>-94.5</x:v>
      </x:c>
      <x:c r="AE186" s="22" t="n">
        <x:f>IFERROR(Z186*M186,0)</x:f>
        <x:v>14463</x:v>
      </x:c>
      <x:c r="AF186" s="26" t="n">
        <x:v>-82</x:v>
      </x:c>
      <x:c r="AG186" s="24" t="n">
        <x:v>69.1</x:v>
      </x:c>
      <x:c r="AH186" s="26" t="n">
        <x:v>-5.7</x:v>
      </x:c>
      <x:c r="AI186" s="22" t="n">
        <x:v>56</x:v>
      </x:c>
      <x:c r="AJ186" s="22" t="n">
        <x:v>22</x:v>
      </x:c>
      <x:c r="AK186" s="22" t="n">
        <x:v>17</x:v>
      </x:c>
      <x:c r="AL186" s="22" t="n">
        <x:v>16</x:v>
      </x:c>
      <x:c r="AM186" s="22" t="n">
        <x:v>9</x:v>
      </x:c>
      <x:c r="AN186" s="24" t="n">
        <x:f>IFERROR(AI186/X186*100,0)</x:f>
        <x:v>5.32825880114177</x:v>
      </x:c>
      <x:c r="AO186" s="24" t="n">
        <x:f>IFERROR(AJ186/X186*100,0)</x:f>
        <x:v>2.093244529019981</x:v>
      </x:c>
      <x:c r="AP186" s="24" t="n">
        <x:f>IFERROR(AK186/X186*100,0)</x:f>
        <x:v>1.6175071360608944</x:v>
      </x:c>
      <x:c r="AQ186" s="24" t="n">
        <x:f>IFERROR(AL186/X186*100,0)</x:f>
        <x:v>1.5223596574690772</x:v>
      </x:c>
      <x:c r="AR186" s="24" t="n">
        <x:f>IFERROR(AM186/X186*100,0)</x:f>
        <x:v>0.8563273073263558</x:v>
      </x:c>
      <x:c r="AS186" s="24" t="n">
        <x:f>IFERROR(Z186/X186*100,0)</x:f>
        <x:v>0.285442435775452</x:v>
      </x:c>
      <x:c r="AT186" s="26" t="n">
        <x:v>3.1</x:v>
      </x:c>
      <x:c r="AU186" s="26" t="n">
        <x:v>-15.1</x:v>
      </x:c>
      <x:c r="AV186" s="26" t="n">
        <x:v>-37.3</x:v>
      </x:c>
      <x:c r="AW186" s="26" t="n">
        <x:v>-61.8</x:v>
      </x:c>
      <x:c r="AX186" s="26" t="n">
        <x:v>1</x:v>
      </x:c>
      <x:c r="AY186" s="26" t="n">
        <x:v>-9</x:v>
      </x:c>
      <x:c r="AZ186" s="26" t="n">
        <x:v>-29.6</x:v>
      </x:c>
      <x:c r="BA186" s="26" t="n">
        <x:v>-94.5</x:v>
      </x:c>
      <x:c r="BB186" s="22" t="n">
        <x:f>IFERROR(AE186/Z186,0)</x:f>
        <x:v>4821</x:v>
      </x:c>
      <x:c r="BC186" s="17" t="n">
        <x:f>IF(OR(V186="out_of_stock",V186="critical_low_stock"),MAX(0,(14-U186)*T186),0)</x:f>
        <x:v>18.2</x:v>
      </x:c>
      <x:c r="BD186" s="22" t="n">
        <x:f>IFERROR(BC186*M186,0)</x:f>
        <x:v>87742.2</x:v>
      </x:c>
      <x:c r="BE186" s="17" t="str">
        <x:v>mobile_funnel_behavior</x:v>
      </x:c>
      <x:c r="BF186" s="17" t="str">
        <x:v>inspired_by_uploaded_mobile_funnel_screenshot + copied_product_context</x:v>
      </x:c>
    </x:row>
    <x:row r="187">
      <x:c r="A187" s="17" t="n">
        <x:v>186</x:v>
      </x:c>
      <x:c r="B187" s="17" t="str">
        <x:v>MOBILE_EVENT_FUNNEL</x:v>
      </x:c>
      <x:c r="C187" s="20" t="n">
        <x:v>46145</x:v>
      </x:c>
      <x:c r="D187" s="17" t="str">
        <x:v>Mobile Web</x:v>
      </x:c>
      <x:c r="E187" s="17" t="str">
        <x:v>Mobile</x:v>
      </x:c>
      <x:c r="F187" s="17" t="str">
        <x:v>CRM</x:v>
      </x:c>
      <x:c r="G187" s="17" t="n">
        <x:v>7</x:v>
      </x:c>
      <x:c r="H187" s="17" t="str">
        <x:v>JBL</x:v>
      </x:c>
      <x:c r="I187" s="17" t="str">
        <x:v>Telefon</x:v>
      </x:c>
      <x:c r="J187" s="17" t="str">
        <x:v>Kulaklıklar</x:v>
      </x:c>
      <x:c r="K187" s="17" t="str">
        <x:v>JBL Tune 520BT Kablosuz Kulak Üstü Kulaklık Siyah</x:v>
      </x:c>
      <x:c r="L187" s="17" t="str">
        <x:v>1229420</x:v>
      </x:c>
      <x:c r="M187" s="22" t="n">
        <x:v>3181</x:v>
      </x:c>
      <x:c r="N187" s="26" t="n">
        <x:v>11.7</x:v>
      </x:c>
      <x:c r="O187" s="22" t="n">
        <x:v>10</x:v>
      </x:c>
      <x:c r="P187" s="22" t="n">
        <x:v>5</x:v>
      </x:c>
      <x:c r="Q187" s="22" t="n">
        <x:v>0</x:v>
      </x:c>
      <x:c r="R187" s="17" t="n">
        <x:v>3</x:v>
      </x:c>
      <x:c r="S187" s="22" t="n">
        <x:v>3</x:v>
      </x:c>
      <x:c r="T187" s="24" t="n">
        <x:v>0.5</x:v>
      </x:c>
      <x:c r="U187" s="24" t="n">
        <x:f>IFERROR(O187/T187,0)</x:f>
        <x:v>20</x:v>
      </x:c>
      <x:c r="V187" s="17" t="str">
        <x:f>IF(O187&lt;=0,"out_of_stock",IF(U187&lt;7,"critical_low_stock",IF(U187&gt;60,"overstock","in_stock")))</x:f>
        <x:v>in_stock</x:v>
      </x:c>
      <x:c r="W187" s="17" t="str">
        <x:f>IF(O187&lt;=0,"OOS",IF(AND(U187&lt;7,AC187&gt;=0.5),"High Risk",IF(U187&lt;14,"Medium Risk",IF(U187&gt;60,"Overstock","Healthy"))))</x:f>
        <x:v>Healthy</x:v>
      </x:c>
      <x:c r="X187" s="22" t="n">
        <x:v>316</x:v>
      </x:c>
      <x:c r="Y187" s="22" t="n">
        <x:v>38</x:v>
      </x:c>
      <x:c r="Z187" s="22" t="n">
        <x:v>2</x:v>
      </x:c>
      <x:c r="AA187" s="24" t="n">
        <x:f>IFERROR(Y187/X187*100,0)</x:f>
        <x:v>12.025316455696203</x:v>
      </x:c>
      <x:c r="AB187" s="26" t="n">
        <x:v>-72.2</x:v>
      </x:c>
      <x:c r="AC187" s="24" t="n">
        <x:f>IFERROR(Z187/X187*100,0)</x:f>
        <x:v>0.6329113924050633</x:v>
      </x:c>
      <x:c r="AD187" s="26" t="n">
        <x:v>-80.1</x:v>
      </x:c>
      <x:c r="AE187" s="22" t="n">
        <x:f>IFERROR(Z187*M187,0)</x:f>
        <x:v>6362</x:v>
      </x:c>
      <x:c r="AF187" s="26" t="n">
        <x:v>-59.2</x:v>
      </x:c>
      <x:c r="AG187" s="24" t="n">
        <x:v>63.1</x:v>
      </x:c>
      <x:c r="AH187" s="26" t="n">
        <x:v>16.9</x:v>
      </x:c>
      <x:c r="AI187" s="22" t="n">
        <x:v>19</x:v>
      </x:c>
      <x:c r="AJ187" s="22" t="n">
        <x:v>11</x:v>
      </x:c>
      <x:c r="AK187" s="22" t="n">
        <x:v>6</x:v>
      </x:c>
      <x:c r="AL187" s="22" t="n">
        <x:v>6</x:v>
      </x:c>
      <x:c r="AM187" s="22" t="n">
        <x:v>4</x:v>
      </x:c>
      <x:c r="AN187" s="24" t="n">
        <x:f>IFERROR(AI187/X187*100,0)</x:f>
        <x:v>6.012658227848101</x:v>
      </x:c>
      <x:c r="AO187" s="24" t="n">
        <x:f>IFERROR(AJ187/X187*100,0)</x:f>
        <x:v>3.481012658227848</x:v>
      </x:c>
      <x:c r="AP187" s="24" t="n">
        <x:f>IFERROR(AK187/X187*100,0)</x:f>
        <x:v>1.89873417721519</x:v>
      </x:c>
      <x:c r="AQ187" s="24" t="n">
        <x:f>IFERROR(AL187/X187*100,0)</x:f>
        <x:v>1.89873417721519</x:v>
      </x:c>
      <x:c r="AR187" s="24" t="n">
        <x:f>IFERROR(AM187/X187*100,0)</x:f>
        <x:v>1.2658227848101267</x:v>
      </x:c>
      <x:c r="AS187" s="24" t="n">
        <x:f>IFERROR(Z187/X187*100,0)</x:f>
        <x:v>0.6329113924050633</x:v>
      </x:c>
      <x:c r="AT187" s="26" t="n">
        <x:v>25.2</x:v>
      </x:c>
      <x:c r="AU187" s="26" t="n">
        <x:v>-72.2</x:v>
      </x:c>
      <x:c r="AV187" s="26" t="n">
        <x:v>-59.3</x:v>
      </x:c>
      <x:c r="AW187" s="26" t="n">
        <x:v>-55.9</x:v>
      </x:c>
      <x:c r="AX187" s="26" t="n">
        <x:v>22.6</x:v>
      </x:c>
      <x:c r="AY187" s="26" t="n">
        <x:v>-16.9</x:v>
      </x:c>
      <x:c r="AZ187" s="26" t="n">
        <x:v>-14.2</x:v>
      </x:c>
      <x:c r="BA187" s="26" t="n">
        <x:v>-80.1</x:v>
      </x:c>
      <x:c r="BB187" s="22" t="n">
        <x:f>IFERROR(AE187/Z187,0)</x:f>
        <x:v>3181</x:v>
      </x:c>
      <x:c r="BC187" s="17" t="n">
        <x:f>IF(OR(V187="out_of_stock",V187="critical_low_stock"),MAX(0,(14-U187)*T187),0)</x:f>
        <x:v>0</x:v>
      </x:c>
      <x:c r="BD187" s="22" t="n">
        <x:f>IFERROR(BC187*M187,0)</x:f>
        <x:v>0</x:v>
      </x:c>
      <x:c r="BE187" s="17" t="str">
        <x:v>mobile_funnel_behavior</x:v>
      </x:c>
      <x:c r="BF187" s="17" t="str">
        <x:v>inspired_by_uploaded_mobile_funnel_screenshot + copied_product_context</x:v>
      </x:c>
    </x:row>
    <x:row r="188">
      <x:c r="A188" s="17" t="n">
        <x:v>187</x:v>
      </x:c>
      <x:c r="B188" s="17" t="str">
        <x:v>MOBILE_EVENT_FUNNEL</x:v>
      </x:c>
      <x:c r="C188" s="20" t="n">
        <x:v>46146</x:v>
      </x:c>
      <x:c r="D188" s="17" t="str">
        <x:v>Mobile Web</x:v>
      </x:c>
      <x:c r="E188" s="17" t="str">
        <x:v>Mobile</x:v>
      </x:c>
      <x:c r="F188" s="17" t="str">
        <x:v>Search Organic Brand</x:v>
      </x:c>
      <x:c r="G188" s="17" t="n">
        <x:v>28</x:v>
      </x:c>
      <x:c r="H188" s="17" t="str">
        <x:v>HONOR</x:v>
      </x:c>
      <x:c r="I188" s="17" t="str">
        <x:v>Telefon</x:v>
      </x:c>
      <x:c r="J188" s="17" t="str">
        <x:v>Cep Telefonları</x:v>
      </x:c>
      <x:c r="K188" s="17" t="str">
        <x:v>HONOR Magic 8 Pro 12/512GB Akıllı Telefon Siyah</x:v>
      </x:c>
      <x:c r="L188" s="17" t="str">
        <x:v>1251989</x:v>
      </x:c>
      <x:c r="M188" s="22" t="n">
        <x:v>18297</x:v>
      </x:c>
      <x:c r="N188" s="26" t="n">
        <x:v>-20.6</x:v>
      </x:c>
      <x:c r="O188" s="22" t="n">
        <x:v>136</x:v>
      </x:c>
      <x:c r="P188" s="22" t="n">
        <x:v>115</x:v>
      </x:c>
      <x:c r="Q188" s="22" t="n">
        <x:v>0</x:v>
      </x:c>
      <x:c r="R188" s="17" t="n">
        <x:v>3</x:v>
      </x:c>
      <x:c r="S188" s="22" t="n">
        <x:v>5</x:v>
      </x:c>
      <x:c r="T188" s="24" t="n">
        <x:v>0.7</x:v>
      </x:c>
      <x:c r="U188" s="24" t="n">
        <x:f>IFERROR(O188/T188,0)</x:f>
        <x:v>194.2857142857143</x:v>
      </x:c>
      <x:c r="V188" s="17" t="str">
        <x:f>IF(O188&lt;=0,"out_of_stock",IF(U188&lt;7,"critical_low_stock",IF(U188&gt;60,"overstock","in_stock")))</x:f>
        <x:v>overstock</x:v>
      </x:c>
      <x:c r="W188" s="17" t="str">
        <x:f>IF(O188&lt;=0,"OOS",IF(AND(U188&lt;7,AC188&gt;=0.5),"High Risk",IF(U188&lt;14,"Medium Risk",IF(U188&gt;60,"Overstock","Healthy"))))</x:f>
        <x:v>Overstock</x:v>
      </x:c>
      <x:c r="X188" s="22" t="n">
        <x:v>340</x:v>
      </x:c>
      <x:c r="Y188" s="22" t="n">
        <x:v>29</x:v>
      </x:c>
      <x:c r="Z188" s="22" t="n">
        <x:v>1</x:v>
      </x:c>
      <x:c r="AA188" s="24" t="n">
        <x:f>IFERROR(Y188/X188*100,0)</x:f>
        <x:v>8.529411764705882</x:v>
      </x:c>
      <x:c r="AB188" s="26" t="n">
        <x:v>-15.5</x:v>
      </x:c>
      <x:c r="AC188" s="24" t="n">
        <x:f>IFERROR(Z188/X188*100,0)</x:f>
        <x:v>0.29411764705882354</x:v>
      </x:c>
      <x:c r="AD188" s="26" t="n">
        <x:v>-10.6</x:v>
      </x:c>
      <x:c r="AE188" s="22" t="n">
        <x:f>IFERROR(Z188*M188,0)</x:f>
        <x:v>18297</x:v>
      </x:c>
      <x:c r="AF188" s="26" t="n">
        <x:v>-29.7</x:v>
      </x:c>
      <x:c r="AG188" s="24" t="n">
        <x:v>59.5</x:v>
      </x:c>
      <x:c r="AH188" s="26" t="n">
        <x:v>-1.2</x:v>
      </x:c>
      <x:c r="AI188" s="22" t="n">
        <x:v>11</x:v>
      </x:c>
      <x:c r="AJ188" s="22" t="n">
        <x:v>4</x:v>
      </x:c>
      <x:c r="AK188" s="22" t="n">
        <x:v>2</x:v>
      </x:c>
      <x:c r="AL188" s="22" t="n">
        <x:v>2</x:v>
      </x:c>
      <x:c r="AM188" s="22" t="n">
        <x:v>2</x:v>
      </x:c>
      <x:c r="AN188" s="24" t="n">
        <x:f>IFERROR(AI188/X188*100,0)</x:f>
        <x:v>3.2352941176470593</x:v>
      </x:c>
      <x:c r="AO188" s="24" t="n">
        <x:f>IFERROR(AJ188/X188*100,0)</x:f>
        <x:v>1.1764705882352942</x:v>
      </x:c>
      <x:c r="AP188" s="24" t="n">
        <x:f>IFERROR(AK188/X188*100,0)</x:f>
        <x:v>0.5882352941176471</x:v>
      </x:c>
      <x:c r="AQ188" s="24" t="n">
        <x:f>IFERROR(AL188/X188*100,0)</x:f>
        <x:v>0.5882352941176471</x:v>
      </x:c>
      <x:c r="AR188" s="24" t="n">
        <x:f>IFERROR(AM188/X188*100,0)</x:f>
        <x:v>0.5882352941176471</x:v>
      </x:c>
      <x:c r="AS188" s="24" t="n">
        <x:f>IFERROR(Z188/X188*100,0)</x:f>
        <x:v>0.29411764705882354</x:v>
      </x:c>
      <x:c r="AT188" s="26" t="n">
        <x:v>2.1</x:v>
      </x:c>
      <x:c r="AU188" s="26" t="n">
        <x:v>-15.5</x:v>
      </x:c>
      <x:c r="AV188" s="26" t="n">
        <x:v>-25.2</x:v>
      </x:c>
      <x:c r="AW188" s="26" t="n">
        <x:v>-62.4</x:v>
      </x:c>
      <x:c r="AX188" s="26" t="n">
        <x:v>-10.6</x:v>
      </x:c>
      <x:c r="AY188" s="26" t="n">
        <x:v>-15.8</x:v>
      </x:c>
      <x:c r="AZ188" s="26" t="n">
        <x:v>-22.9</x:v>
      </x:c>
      <x:c r="BA188" s="26" t="n">
        <x:v>-10.6</x:v>
      </x:c>
      <x:c r="BB188" s="22" t="n">
        <x:f>IFERROR(AE188/Z188,0)</x:f>
        <x:v>18297</x:v>
      </x:c>
      <x:c r="BC188" s="17" t="n">
        <x:f>IF(OR(V188="out_of_stock",V188="critical_low_stock"),MAX(0,(14-U188)*T188),0)</x:f>
        <x:v>0</x:v>
      </x:c>
      <x:c r="BD188" s="22" t="n">
        <x:f>IFERROR(BC188*M188,0)</x:f>
        <x:v>0</x:v>
      </x:c>
      <x:c r="BE188" s="17" t="str">
        <x:v>mobile_funnel_behavior</x:v>
      </x:c>
      <x:c r="BF188" s="17" t="str">
        <x:v>inspired_by_uploaded_mobile_funnel_screenshot + copied_product_context</x:v>
      </x:c>
    </x:row>
    <x:row r="189">
      <x:c r="A189" s="17" t="n">
        <x:v>188</x:v>
      </x:c>
      <x:c r="B189" s="17" t="str">
        <x:v>MOBILE_EVENT_FUNNEL</x:v>
      </x:c>
      <x:c r="C189" s="20" t="n">
        <x:v>46147</x:v>
      </x:c>
      <x:c r="D189" s="17" t="str">
        <x:v>Mobile Web</x:v>
      </x:c>
      <x:c r="E189" s="17" t="str">
        <x:v>Mobile</x:v>
      </x:c>
      <x:c r="F189" s="17" t="str">
        <x:v>Affiliate</x:v>
      </x:c>
      <x:c r="G189" s="17" t="n">
        <x:v>28</x:v>
      </x:c>
      <x:c r="H189" s="17" t="str">
        <x:v>SAMSUNG</x:v>
      </x:c>
      <x:c r="I189" s="17" t="str">
        <x:v>Telefon</x:v>
      </x:c>
      <x:c r="J189" s="17" t="str">
        <x:v>Cep Telefonları</x:v>
      </x:c>
      <x:c r="K189" s="17" t="str">
        <x:v>SAMSUNG Galaxy A17 5G 8/256GB Akıllı Telefon Siyah</x:v>
      </x:c>
      <x:c r="L189" s="17" t="str">
        <x:v>1248870</x:v>
      </x:c>
      <x:c r="M189" s="22" t="n">
        <x:v>27339</x:v>
      </x:c>
      <x:c r="N189" s="26" t="n">
        <x:v>24.1</x:v>
      </x:c>
      <x:c r="O189" s="22" t="n">
        <x:v>0</x:v>
      </x:c>
      <x:c r="P189" s="22" t="n">
        <x:v>0</x:v>
      </x:c>
      <x:c r="Q189" s="22" t="n">
        <x:v>0</x:v>
      </x:c>
      <x:c r="R189" s="17" t="n">
        <x:v>21</x:v>
      </x:c>
      <x:c r="S189" s="22" t="n">
        <x:v>8</x:v>
      </x:c>
      <x:c r="T189" s="24" t="n">
        <x:v>0.3</x:v>
      </x:c>
      <x:c r="U189" s="24" t="n">
        <x:f>IFERROR(O189/T189,0)</x:f>
        <x:v>0</x:v>
      </x:c>
      <x:c r="V189" s="17" t="str">
        <x:f>IF(O189&lt;=0,"out_of_stock",IF(U189&lt;7,"critical_low_stock",IF(U189&gt;60,"overstock","in_stock")))</x:f>
        <x:v>out_of_stock</x:v>
      </x:c>
      <x:c r="W189" s="17" t="str">
        <x:f>IF(O189&lt;=0,"OOS",IF(AND(U189&lt;7,AC189&gt;=0.5),"High Risk",IF(U189&lt;14,"Medium Risk",IF(U189&gt;60,"Overstock","Healthy"))))</x:f>
        <x:v>OOS</x:v>
      </x:c>
      <x:c r="X189" s="22" t="n">
        <x:v>439</x:v>
      </x:c>
      <x:c r="Y189" s="22" t="n">
        <x:v>51</x:v>
      </x:c>
      <x:c r="Z189" s="22" t="n">
        <x:v>0</x:v>
      </x:c>
      <x:c r="AA189" s="24" t="n">
        <x:f>IFERROR(Y189/X189*100,0)</x:f>
        <x:v>11.617312072892938</x:v>
      </x:c>
      <x:c r="AB189" s="26" t="n">
        <x:v>-64.9</x:v>
      </x:c>
      <x:c r="AC189" s="24" t="n">
        <x:f>IFERROR(Z189/X189*100,0)</x:f>
        <x:v>0</x:v>
      </x:c>
      <x:c r="AD189" s="26" t="n">
        <x:v>-40.9</x:v>
      </x:c>
      <x:c r="AE189" s="22" t="n">
        <x:f>IFERROR(Z189*M189,0)</x:f>
        <x:v>0</x:v>
      </x:c>
      <x:c r="AF189" s="26" t="n">
        <x:v>-23.1</x:v>
      </x:c>
      <x:c r="AG189" s="24" t="n">
        <x:v>52.2</x:v>
      </x:c>
      <x:c r="AH189" s="26" t="n">
        <x:v>-7.8</x:v>
      </x:c>
      <x:c r="AI189" s="22" t="n">
        <x:v>32</x:v>
      </x:c>
      <x:c r="AJ189" s="22" t="n">
        <x:v>13</x:v>
      </x:c>
      <x:c r="AK189" s="22" t="n">
        <x:v>10</x:v>
      </x:c>
      <x:c r="AL189" s="22" t="n">
        <x:v>10</x:v>
      </x:c>
      <x:c r="AM189" s="22" t="n">
        <x:v>5</x:v>
      </x:c>
      <x:c r="AN189" s="24" t="n">
        <x:f>IFERROR(AI189/X189*100,0)</x:f>
        <x:v>7.289293849658314</x:v>
      </x:c>
      <x:c r="AO189" s="24" t="n">
        <x:f>IFERROR(AJ189/X189*100,0)</x:f>
        <x:v>2.9612756264236904</x:v>
      </x:c>
      <x:c r="AP189" s="24" t="n">
        <x:f>IFERROR(AK189/X189*100,0)</x:f>
        <x:v>2.277904328018223</x:v>
      </x:c>
      <x:c r="AQ189" s="24" t="n">
        <x:f>IFERROR(AL189/X189*100,0)</x:f>
        <x:v>2.277904328018223</x:v>
      </x:c>
      <x:c r="AR189" s="24" t="n">
        <x:f>IFERROR(AM189/X189*100,0)</x:f>
        <x:v>1.1389521640091116</x:v>
      </x:c>
      <x:c r="AS189" s="24" t="n">
        <x:f>IFERROR(Z189/X189*100,0)</x:f>
        <x:v>0</x:v>
      </x:c>
      <x:c r="AT189" s="26" t="n">
        <x:v>29.1</x:v>
      </x:c>
      <x:c r="AU189" s="26" t="n">
        <x:v>-64.9</x:v>
      </x:c>
      <x:c r="AV189" s="26" t="n">
        <x:v>-40</x:v>
      </x:c>
      <x:c r="AW189" s="26" t="n">
        <x:v>-16.1</x:v>
      </x:c>
      <x:c r="AX189" s="26" t="n">
        <x:v>29.8</x:v>
      </x:c>
      <x:c r="AY189" s="26" t="n">
        <x:v>-34.2</x:v>
      </x:c>
      <x:c r="AZ189" s="26" t="n">
        <x:v>-30.9</x:v>
      </x:c>
      <x:c r="BA189" s="26" t="n">
        <x:v>-40.9</x:v>
      </x:c>
      <x:c r="BB189" s="22" t="n">
        <x:f>IFERROR(AE189/Z189,0)</x:f>
        <x:v>0</x:v>
      </x:c>
      <x:c r="BC189" s="17" t="n">
        <x:f>IF(OR(V189="out_of_stock",V189="critical_low_stock"),MAX(0,(14-U189)*T189),0)</x:f>
        <x:v>4.2</x:v>
      </x:c>
      <x:c r="BD189" s="22" t="n">
        <x:f>IFERROR(BC189*M189,0)</x:f>
        <x:v>114823.8</x:v>
      </x:c>
      <x:c r="BE189" s="17" t="str">
        <x:v>mobile_funnel_behavior</x:v>
      </x:c>
      <x:c r="BF189" s="17" t="str">
        <x:v>inspired_by_uploaded_mobile_funnel_screenshot + copied_product_context</x:v>
      </x:c>
    </x:row>
    <x:row r="190">
      <x:c r="A190" s="17" t="n">
        <x:v>189</x:v>
      </x:c>
      <x:c r="B190" s="17" t="str">
        <x:v>MOBILE_EVENT_FUNNEL</x:v>
      </x:c>
      <x:c r="C190" s="20" t="n">
        <x:v>46148</x:v>
      </x:c>
      <x:c r="D190" s="17" t="str">
        <x:v>Mobile Web</x:v>
      </x:c>
      <x:c r="E190" s="17" t="str">
        <x:v>Mobile</x:v>
      </x:c>
      <x:c r="F190" s="17" t="str">
        <x:v>Direct</x:v>
      </x:c>
      <x:c r="G190" s="17" t="n">
        <x:v>34</x:v>
      </x:c>
      <x:c r="H190" s="17" t="str">
        <x:v>DYSON</x:v>
      </x:c>
      <x:c r="I190" s="17" t="str">
        <x:v>Ev Aletleri &amp; Yaşam</x:v>
      </x:c>
      <x:c r="J190" s="17" t="str">
        <x:v>Süpürgeler</x:v>
      </x:c>
      <x:c r="K190" s="17" t="str">
        <x:v>DYSON V12 Detect Slim Absolute Kablosuz Şarjlı Dikey Süpürge Sarı Nikel</x:v>
      </x:c>
      <x:c r="L190" s="17" t="str">
        <x:v>1232519</x:v>
      </x:c>
      <x:c r="M190" s="22" t="n">
        <x:v>37274</x:v>
      </x:c>
      <x:c r="N190" s="26" t="n">
        <x:v>9.5</x:v>
      </x:c>
      <x:c r="O190" s="22" t="n">
        <x:v>31</x:v>
      </x:c>
      <x:c r="P190" s="22" t="n">
        <x:v>10</x:v>
      </x:c>
      <x:c r="Q190" s="22" t="n">
        <x:v>0</x:v>
      </x:c>
      <x:c r="R190" s="17" t="n">
        <x:v>14</x:v>
      </x:c>
      <x:c r="S190" s="22" t="n">
        <x:v>26</x:v>
      </x:c>
      <x:c r="T190" s="24" t="n">
        <x:v>1.5</x:v>
      </x:c>
      <x:c r="U190" s="24" t="n">
        <x:f>IFERROR(O190/T190,0)</x:f>
        <x:v>20.666666666666668</x:v>
      </x:c>
      <x:c r="V190" s="17" t="str">
        <x:f>IF(O190&lt;=0,"out_of_stock",IF(U190&lt;7,"critical_low_stock",IF(U190&gt;60,"overstock","in_stock")))</x:f>
        <x:v>in_stock</x:v>
      </x:c>
      <x:c r="W190" s="17" t="str">
        <x:f>IF(O190&lt;=0,"OOS",IF(AND(U190&lt;7,AC190&gt;=0.5),"High Risk",IF(U190&lt;14,"Medium Risk",IF(U190&gt;60,"Overstock","Healthy"))))</x:f>
        <x:v>Healthy</x:v>
      </x:c>
      <x:c r="X190" s="22" t="n">
        <x:v>540</x:v>
      </x:c>
      <x:c r="Y190" s="22" t="n">
        <x:v>55</x:v>
      </x:c>
      <x:c r="Z190" s="22" t="n">
        <x:v>2</x:v>
      </x:c>
      <x:c r="AA190" s="24" t="n">
        <x:f>IFERROR(Y190/X190*100,0)</x:f>
        <x:v>10.185185185185185</x:v>
      </x:c>
      <x:c r="AB190" s="26" t="n">
        <x:v>-38.7</x:v>
      </x:c>
      <x:c r="AC190" s="24" t="n">
        <x:f>IFERROR(Z190/X190*100,0)</x:f>
        <x:v>0.3703703703703704</x:v>
      </x:c>
      <x:c r="AD190" s="26" t="n">
        <x:v>-36.6</x:v>
      </x:c>
      <x:c r="AE190" s="22" t="n">
        <x:f>IFERROR(Z190*M190,0)</x:f>
        <x:v>74548</x:v>
      </x:c>
      <x:c r="AF190" s="26" t="n">
        <x:v>-27.7</x:v>
      </x:c>
      <x:c r="AG190" s="24" t="n">
        <x:v>51.1</x:v>
      </x:c>
      <x:c r="AH190" s="26" t="n">
        <x:v>9.9</x:v>
      </x:c>
      <x:c r="AI190" s="22" t="n">
        <x:v>23</x:v>
      </x:c>
      <x:c r="AJ190" s="22" t="n">
        <x:v>13</x:v>
      </x:c>
      <x:c r="AK190" s="22" t="n">
        <x:v>8</x:v>
      </x:c>
      <x:c r="AL190" s="22" t="n">
        <x:v>8</x:v>
      </x:c>
      <x:c r="AM190" s="22" t="n">
        <x:v>4</x:v>
      </x:c>
      <x:c r="AN190" s="24" t="n">
        <x:f>IFERROR(AI190/X190*100,0)</x:f>
        <x:v>4.2592592592592595</x:v>
      </x:c>
      <x:c r="AO190" s="24" t="n">
        <x:f>IFERROR(AJ190/X190*100,0)</x:f>
        <x:v>2.4074074074074074</x:v>
      </x:c>
      <x:c r="AP190" s="24" t="n">
        <x:f>IFERROR(AK190/X190*100,0)</x:f>
        <x:v>1.4814814814814816</x:v>
      </x:c>
      <x:c r="AQ190" s="24" t="n">
        <x:f>IFERROR(AL190/X190*100,0)</x:f>
        <x:v>1.4814814814814816</x:v>
      </x:c>
      <x:c r="AR190" s="24" t="n">
        <x:f>IFERROR(AM190/X190*100,0)</x:f>
        <x:v>0.7407407407407408</x:v>
      </x:c>
      <x:c r="AS190" s="24" t="n">
        <x:f>IFERROR(Z190/X190*100,0)</x:f>
        <x:v>0.3703703703703704</x:v>
      </x:c>
      <x:c r="AT190" s="26" t="n">
        <x:v>15.9</x:v>
      </x:c>
      <x:c r="AU190" s="26" t="n">
        <x:v>-38.7</x:v>
      </x:c>
      <x:c r="AV190" s="26" t="n">
        <x:v>-44.4</x:v>
      </x:c>
      <x:c r="AW190" s="26" t="n">
        <x:v>-48</x:v>
      </x:c>
      <x:c r="AX190" s="26" t="n">
        <x:v>-10.6</x:v>
      </x:c>
      <x:c r="AY190" s="26" t="n">
        <x:v>-21.1</x:v>
      </x:c>
      <x:c r="AZ190" s="26" t="n">
        <x:v>-30.6</x:v>
      </x:c>
      <x:c r="BA190" s="26" t="n">
        <x:v>-36.6</x:v>
      </x:c>
      <x:c r="BB190" s="22" t="n">
        <x:f>IFERROR(AE190/Z190,0)</x:f>
        <x:v>37274</x:v>
      </x:c>
      <x:c r="BC190" s="17" t="n">
        <x:f>IF(OR(V190="out_of_stock",V190="critical_low_stock"),MAX(0,(14-U190)*T190),0)</x:f>
        <x:v>0</x:v>
      </x:c>
      <x:c r="BD190" s="22" t="n">
        <x:f>IFERROR(BC190*M190,0)</x:f>
        <x:v>0</x:v>
      </x:c>
      <x:c r="BE190" s="17" t="str">
        <x:v>mobile_funnel_behavior</x:v>
      </x:c>
      <x:c r="BF190" s="17" t="str">
        <x:v>inspired_by_uploaded_mobile_funnel_screenshot + copied_product_context</x:v>
      </x:c>
    </x:row>
    <x:row r="191">
      <x:c r="A191" s="17" t="n">
        <x:v>190</x:v>
      </x:c>
      <x:c r="B191" s="17" t="str">
        <x:v>MOBILE_EVENT_FUNNEL</x:v>
      </x:c>
      <x:c r="C191" s="20" t="n">
        <x:v>46149</x:v>
      </x:c>
      <x:c r="D191" s="17" t="str">
        <x:v>Mobile Web</x:v>
      </x:c>
      <x:c r="E191" s="17" t="str">
        <x:v>Mobile</x:v>
      </x:c>
      <x:c r="F191" s="17" t="str">
        <x:v>CRM</x:v>
      </x:c>
      <x:c r="G191" s="17" t="n">
        <x:v>99</x:v>
      </x:c>
      <x:c r="H191" s="17" t="str">
        <x:v>DAIKIN</x:v>
      </x:c>
      <x:c r="I191" s="17" t="str">
        <x:v>Other</x:v>
      </x:c>
      <x:c r="J191" s="17" t="str">
        <x:v>Other</x:v>
      </x:c>
      <x:c r="K191" s="17" t="str">
        <x:v>DAIKIN MC55W Hava Temizleme Cihazı</x:v>
      </x:c>
      <x:c r="L191" s="17" t="str">
        <x:v>1229763</x:v>
      </x:c>
      <x:c r="M191" s="22" t="n">
        <x:v>21108</x:v>
      </x:c>
      <x:c r="N191" s="26" t="n">
        <x:v>-11.7</x:v>
      </x:c>
      <x:c r="O191" s="22" t="n">
        <x:v>154</x:v>
      </x:c>
      <x:c r="P191" s="22" t="n">
        <x:v>139</x:v>
      </x:c>
      <x:c r="Q191" s="22" t="n">
        <x:v>0</x:v>
      </x:c>
      <x:c r="R191" s="17" t="n">
        <x:v>10</x:v>
      </x:c>
      <x:c r="S191" s="22" t="n">
        <x:v>17</x:v>
      </x:c>
      <x:c r="T191" s="24" t="n">
        <x:v>1.3</x:v>
      </x:c>
      <x:c r="U191" s="24" t="n">
        <x:f>IFERROR(O191/T191,0)</x:f>
        <x:v>118.46153846153845</x:v>
      </x:c>
      <x:c r="V191" s="17" t="str">
        <x:f>IF(O191&lt;=0,"out_of_stock",IF(U191&lt;7,"critical_low_stock",IF(U191&gt;60,"overstock","in_stock")))</x:f>
        <x:v>overstock</x:v>
      </x:c>
      <x:c r="W191" s="17" t="str">
        <x:f>IF(O191&lt;=0,"OOS",IF(AND(U191&lt;7,AC191&gt;=0.5),"High Risk",IF(U191&lt;14,"Medium Risk",IF(U191&gt;60,"Overstock","Healthy"))))</x:f>
        <x:v>Overstock</x:v>
      </x:c>
      <x:c r="X191" s="22" t="n">
        <x:v>270</x:v>
      </x:c>
      <x:c r="Y191" s="22" t="n">
        <x:v>19</x:v>
      </x:c>
      <x:c r="Z191" s="22" t="n">
        <x:v>1</x:v>
      </x:c>
      <x:c r="AA191" s="24" t="n">
        <x:f>IFERROR(Y191/X191*100,0)</x:f>
        <x:v>7.037037037037037</x:v>
      </x:c>
      <x:c r="AB191" s="26" t="n">
        <x:v>-68.2</x:v>
      </x:c>
      <x:c r="AC191" s="24" t="n">
        <x:f>IFERROR(Z191/X191*100,0)</x:f>
        <x:v>0.3703703703703704</x:v>
      </x:c>
      <x:c r="AD191" s="26" t="n">
        <x:v>-57.1</x:v>
      </x:c>
      <x:c r="AE191" s="22" t="n">
        <x:f>IFERROR(Z191*M191,0)</x:f>
        <x:v>21108</x:v>
      </x:c>
      <x:c r="AF191" s="26" t="n">
        <x:v>-72.5</x:v>
      </x:c>
      <x:c r="AG191" s="24" t="n">
        <x:v>41.9</x:v>
      </x:c>
      <x:c r="AH191" s="26" t="n">
        <x:v>12.8</x:v>
      </x:c>
      <x:c r="AI191" s="22" t="n">
        <x:v>4</x:v>
      </x:c>
      <x:c r="AJ191" s="22" t="n">
        <x:v>1</x:v>
      </x:c>
      <x:c r="AK191" s="22" t="n">
        <x:v>1</x:v>
      </x:c>
      <x:c r="AL191" s="22" t="n">
        <x:v>1</x:v>
      </x:c>
      <x:c r="AM191" s="22" t="n">
        <x:v>1</x:v>
      </x:c>
      <x:c r="AN191" s="24" t="n">
        <x:f>IFERROR(AI191/X191*100,0)</x:f>
        <x:v>1.4814814814814816</x:v>
      </x:c>
      <x:c r="AO191" s="24" t="n">
        <x:f>IFERROR(AJ191/X191*100,0)</x:f>
        <x:v>0.3703703703703704</x:v>
      </x:c>
      <x:c r="AP191" s="24" t="n">
        <x:f>IFERROR(AK191/X191*100,0)</x:f>
        <x:v>0.3703703703703704</x:v>
      </x:c>
      <x:c r="AQ191" s="24" t="n">
        <x:f>IFERROR(AL191/X191*100,0)</x:f>
        <x:v>0.3703703703703704</x:v>
      </x:c>
      <x:c r="AR191" s="24" t="n">
        <x:f>IFERROR(AM191/X191*100,0)</x:f>
        <x:v>0.3703703703703704</x:v>
      </x:c>
      <x:c r="AS191" s="24" t="n">
        <x:f>IFERROR(Z191/X191*100,0)</x:f>
        <x:v>0.3703703703703704</x:v>
      </x:c>
      <x:c r="AT191" s="26" t="n">
        <x:v>4.4</x:v>
      </x:c>
      <x:c r="AU191" s="26" t="n">
        <x:v>-68.2</x:v>
      </x:c>
      <x:c r="AV191" s="26" t="n">
        <x:v>1.1</x:v>
      </x:c>
      <x:c r="AW191" s="26" t="n">
        <x:v>-33.1</x:v>
      </x:c>
      <x:c r="AX191" s="26" t="n">
        <x:v>25.3</x:v>
      </x:c>
      <x:c r="AY191" s="26" t="n">
        <x:v>16.5</x:v>
      </x:c>
      <x:c r="AZ191" s="26" t="n">
        <x:v>-33.2</x:v>
      </x:c>
      <x:c r="BA191" s="26" t="n">
        <x:v>-57.1</x:v>
      </x:c>
      <x:c r="BB191" s="22" t="n">
        <x:f>IFERROR(AE191/Z191,0)</x:f>
        <x:v>21108</x:v>
      </x:c>
      <x:c r="BC191" s="17" t="n">
        <x:f>IF(OR(V191="out_of_stock",V191="critical_low_stock"),MAX(0,(14-U191)*T191),0)</x:f>
        <x:v>0</x:v>
      </x:c>
      <x:c r="BD191" s="22" t="n">
        <x:f>IFERROR(BC191*M191,0)</x:f>
        <x:v>0</x:v>
      </x:c>
      <x:c r="BE191" s="17" t="str">
        <x:v>mobile_funnel_behavior</x:v>
      </x:c>
      <x:c r="BF191" s="17" t="str">
        <x:v>inspired_by_uploaded_mobile_funnel_screenshot + copied_product_context</x:v>
      </x:c>
    </x:row>
    <x:row r="192">
      <x:c r="A192" s="17" t="n">
        <x:v>191</x:v>
      </x:c>
      <x:c r="B192" s="17" t="str">
        <x:v>MOBILE_EVENT_FUNNEL</x:v>
      </x:c>
      <x:c r="C192" s="20" t="n">
        <x:v>46150</x:v>
      </x:c>
      <x:c r="D192" s="17" t="str">
        <x:v>Mobile Web</x:v>
      </x:c>
      <x:c r="E192" s="17" t="str">
        <x:v>Mobile</x:v>
      </x:c>
      <x:c r="F192" s="17" t="str">
        <x:v>Affiliate</x:v>
      </x:c>
      <x:c r="G192" s="17" t="n">
        <x:v>21</x:v>
      </x:c>
      <x:c r="H192" s="17" t="str">
        <x:v>DJI</x:v>
      </x:c>
      <x:c r="I192" s="17" t="str">
        <x:v>Foto &amp; Kamera &amp; Drone</x:v>
      </x:c>
      <x:c r="J192" s="17" t="str">
        <x:v>Drone</x:v>
      </x:c>
      <x:c r="K192" s="17" t="str">
        <x:v>DJI Mini 4K Fly More Combo Drone</x:v>
      </x:c>
      <x:c r="L192" s="17" t="str">
        <x:v>1242925</x:v>
      </x:c>
      <x:c r="M192" s="22" t="n">
        <x:v>9501</x:v>
      </x:c>
      <x:c r="N192" s="26" t="n">
        <x:v>20.9</x:v>
      </x:c>
      <x:c r="O192" s="22" t="n">
        <x:v>15</x:v>
      </x:c>
      <x:c r="P192" s="22" t="n">
        <x:v>10</x:v>
      </x:c>
      <x:c r="Q192" s="22" t="n">
        <x:v>0</x:v>
      </x:c>
      <x:c r="R192" s="17" t="n">
        <x:v>14</x:v>
      </x:c>
      <x:c r="S192" s="22" t="n">
        <x:v>23</x:v>
      </x:c>
      <x:c r="T192" s="24" t="n">
        <x:v>1.3</x:v>
      </x:c>
      <x:c r="U192" s="24" t="n">
        <x:f>IFERROR(O192/T192,0)</x:f>
        <x:v>11.538461538461538</x:v>
      </x:c>
      <x:c r="V192" s="17" t="str">
        <x:f>IF(O192&lt;=0,"out_of_stock",IF(U192&lt;7,"critical_low_stock",IF(U192&gt;60,"overstock","in_stock")))</x:f>
        <x:v>in_stock</x:v>
      </x:c>
      <x:c r="W192" s="17" t="str">
        <x:f>IF(O192&lt;=0,"OOS",IF(AND(U192&lt;7,AC192&gt;=0.5),"High Risk",IF(U192&lt;14,"Medium Risk",IF(U192&gt;60,"Overstock","Healthy"))))</x:f>
        <x:v>Medium Risk</x:v>
      </x:c>
      <x:c r="X192" s="22" t="n">
        <x:v>380</x:v>
      </x:c>
      <x:c r="Y192" s="22" t="n">
        <x:v>42</x:v>
      </x:c>
      <x:c r="Z192" s="22" t="n">
        <x:v>1</x:v>
      </x:c>
      <x:c r="AA192" s="24" t="n">
        <x:f>IFERROR(Y192/X192*100,0)</x:f>
        <x:v>11.052631578947368</x:v>
      </x:c>
      <x:c r="AB192" s="26" t="n">
        <x:v>-5.3</x:v>
      </x:c>
      <x:c r="AC192" s="24" t="n">
        <x:f>IFERROR(Z192/X192*100,0)</x:f>
        <x:v>0.2631578947368421</x:v>
      </x:c>
      <x:c r="AD192" s="26" t="n">
        <x:v>16.5</x:v>
      </x:c>
      <x:c r="AE192" s="22" t="n">
        <x:f>IFERROR(Z192*M192,0)</x:f>
        <x:v>9501</x:v>
      </x:c>
      <x:c r="AF192" s="26" t="n">
        <x:v>34.5</x:v>
      </x:c>
      <x:c r="AG192" s="24" t="n">
        <x:v>44</x:v>
      </x:c>
      <x:c r="AH192" s="26" t="n">
        <x:v>-7.5</x:v>
      </x:c>
      <x:c r="AI192" s="22" t="n">
        <x:v>16</x:v>
      </x:c>
      <x:c r="AJ192" s="22" t="n">
        <x:v>6</x:v>
      </x:c>
      <x:c r="AK192" s="22" t="n">
        <x:v>3</x:v>
      </x:c>
      <x:c r="AL192" s="22" t="n">
        <x:v>2</x:v>
      </x:c>
      <x:c r="AM192" s="22" t="n">
        <x:v>1</x:v>
      </x:c>
      <x:c r="AN192" s="24" t="n">
        <x:f>IFERROR(AI192/X192*100,0)</x:f>
        <x:v>4.2105263157894735</x:v>
      </x:c>
      <x:c r="AO192" s="24" t="n">
        <x:f>IFERROR(AJ192/X192*100,0)</x:f>
        <x:v>1.5789473684210527</x:v>
      </x:c>
      <x:c r="AP192" s="24" t="n">
        <x:f>IFERROR(AK192/X192*100,0)</x:f>
        <x:v>0.7894736842105263</x:v>
      </x:c>
      <x:c r="AQ192" s="24" t="n">
        <x:f>IFERROR(AL192/X192*100,0)</x:f>
        <x:v>0.5263157894736842</x:v>
      </x:c>
      <x:c r="AR192" s="24" t="n">
        <x:f>IFERROR(AM192/X192*100,0)</x:f>
        <x:v>0.2631578947368421</x:v>
      </x:c>
      <x:c r="AS192" s="24" t="n">
        <x:f>IFERROR(Z192/X192*100,0)</x:f>
        <x:v>0.2631578947368421</x:v>
      </x:c>
      <x:c r="AT192" s="26" t="n">
        <x:v>27.4</x:v>
      </x:c>
      <x:c r="AU192" s="26" t="n">
        <x:v>-5.3</x:v>
      </x:c>
      <x:c r="AV192" s="26" t="n">
        <x:v>-8.8</x:v>
      </x:c>
      <x:c r="AW192" s="26" t="n">
        <x:v>-39.6</x:v>
      </x:c>
      <x:c r="AX192" s="26" t="n">
        <x:v>-23.1</x:v>
      </x:c>
      <x:c r="AY192" s="26" t="n">
        <x:v>-24</x:v>
      </x:c>
      <x:c r="AZ192" s="26" t="n">
        <x:v>-3.7</x:v>
      </x:c>
      <x:c r="BA192" s="26" t="n">
        <x:v>16.5</x:v>
      </x:c>
      <x:c r="BB192" s="22" t="n">
        <x:f>IFERROR(AE192/Z192,0)</x:f>
        <x:v>9501</x:v>
      </x:c>
      <x:c r="BC192" s="17" t="n">
        <x:f>IF(OR(V192="out_of_stock",V192="critical_low_stock"),MAX(0,(14-U192)*T192),0)</x:f>
        <x:v>0</x:v>
      </x:c>
      <x:c r="BD192" s="22" t="n">
        <x:f>IFERROR(BC192*M192,0)</x:f>
        <x:v>0</x:v>
      </x:c>
      <x:c r="BE192" s="17" t="str">
        <x:v>mobile_funnel_behavior</x:v>
      </x:c>
      <x:c r="BF192" s="17" t="str">
        <x:v>inspired_by_uploaded_mobile_funnel_screenshot + copied_product_context</x:v>
      </x:c>
    </x:row>
    <x:row r="193">
      <x:c r="A193" s="17" t="n">
        <x:v>192</x:v>
      </x:c>
      <x:c r="B193" s="17" t="str">
        <x:v>MOBILE_EVENT_FUNNEL</x:v>
      </x:c>
      <x:c r="C193" s="20" t="n">
        <x:v>46151</x:v>
      </x:c>
      <x:c r="D193" s="17" t="str">
        <x:v>Mobile Web</x:v>
      </x:c>
      <x:c r="E193" s="17" t="str">
        <x:v>Mobile</x:v>
      </x:c>
      <x:c r="F193" s="17" t="str">
        <x:v>Affiliate</x:v>
      </x:c>
      <x:c r="G193" s="17" t="n">
        <x:v>28</x:v>
      </x:c>
      <x:c r="H193" s="17" t="str">
        <x:v>SAMSUNG</x:v>
      </x:c>
      <x:c r="I193" s="17" t="str">
        <x:v>Telefon</x:v>
      </x:c>
      <x:c r="J193" s="17" t="str">
        <x:v>Cep Telefonları</x:v>
      </x:c>
      <x:c r="K193" s="17" t="str">
        <x:v>SAMSUNG Galaxy S26 Ultra 5G 12/512 GB Akıllı Telefon Kobalt Siyah</x:v>
      </x:c>
      <x:c r="L193" s="17" t="str">
        <x:v>1252473</x:v>
      </x:c>
      <x:c r="M193" s="22" t="n">
        <x:v>50210</x:v>
      </x:c>
      <x:c r="N193" s="26" t="n">
        <x:v>-14.2</x:v>
      </x:c>
      <x:c r="O193" s="22" t="n">
        <x:v>198</x:v>
      </x:c>
      <x:c r="P193" s="22" t="n">
        <x:v>138</x:v>
      </x:c>
      <x:c r="Q193" s="22" t="n">
        <x:v>0</x:v>
      </x:c>
      <x:c r="R193" s="17" t="n">
        <x:v>3</x:v>
      </x:c>
      <x:c r="S193" s="22" t="n">
        <x:v>9</x:v>
      </x:c>
      <x:c r="T193" s="24" t="n">
        <x:v>1.4</x:v>
      </x:c>
      <x:c r="U193" s="24" t="n">
        <x:f>IFERROR(O193/T193,0)</x:f>
        <x:v>141.42857142857144</x:v>
      </x:c>
      <x:c r="V193" s="17" t="str">
        <x:f>IF(O193&lt;=0,"out_of_stock",IF(U193&lt;7,"critical_low_stock",IF(U193&gt;60,"overstock","in_stock")))</x:f>
        <x:v>overstock</x:v>
      </x:c>
      <x:c r="W193" s="17" t="str">
        <x:f>IF(O193&lt;=0,"OOS",IF(AND(U193&lt;7,AC193&gt;=0.5),"High Risk",IF(U193&lt;14,"Medium Risk",IF(U193&gt;60,"Overstock","Healthy"))))</x:f>
        <x:v>Overstock</x:v>
      </x:c>
      <x:c r="X193" s="22" t="n">
        <x:v>683</x:v>
      </x:c>
      <x:c r="Y193" s="22" t="n">
        <x:v>49</x:v>
      </x:c>
      <x:c r="Z193" s="22" t="n">
        <x:v>5</x:v>
      </x:c>
      <x:c r="AA193" s="24" t="n">
        <x:f>IFERROR(Y193/X193*100,0)</x:f>
        <x:v>7.174231332357247</x:v>
      </x:c>
      <x:c r="AB193" s="26" t="n">
        <x:v>-6.5</x:v>
      </x:c>
      <x:c r="AC193" s="24" t="n">
        <x:f>IFERROR(Z193/X193*100,0)</x:f>
        <x:v>0.7320644216691069</x:v>
      </x:c>
      <x:c r="AD193" s="26" t="n">
        <x:v>-99.6</x:v>
      </x:c>
      <x:c r="AE193" s="22" t="n">
        <x:f>IFERROR(Z193*M193,0)</x:f>
        <x:v>251050</x:v>
      </x:c>
      <x:c r="AF193" s="26" t="n">
        <x:v>-95</x:v>
      </x:c>
      <x:c r="AG193" s="24" t="n">
        <x:v>37.8</x:v>
      </x:c>
      <x:c r="AH193" s="26" t="n">
        <x:v>0.9</x:v>
      </x:c>
      <x:c r="AI193" s="22" t="n">
        <x:v>19</x:v>
      </x:c>
      <x:c r="AJ193" s="22" t="n">
        <x:v>12</x:v>
      </x:c>
      <x:c r="AK193" s="22" t="n">
        <x:v>8</x:v>
      </x:c>
      <x:c r="AL193" s="22" t="n">
        <x:v>8</x:v>
      </x:c>
      <x:c r="AM193" s="22" t="n">
        <x:v>7</x:v>
      </x:c>
      <x:c r="AN193" s="24" t="n">
        <x:f>IFERROR(AI193/X193*100,0)</x:f>
        <x:v>2.781844802342606</x:v>
      </x:c>
      <x:c r="AO193" s="24" t="n">
        <x:f>IFERROR(AJ193/X193*100,0)</x:f>
        <x:v>1.7569546120058566</x:v>
      </x:c>
      <x:c r="AP193" s="24" t="n">
        <x:f>IFERROR(AK193/X193*100,0)</x:f>
        <x:v>1.171303074670571</x:v>
      </x:c>
      <x:c r="AQ193" s="24" t="n">
        <x:f>IFERROR(AL193/X193*100,0)</x:f>
        <x:v>1.171303074670571</x:v>
      </x:c>
      <x:c r="AR193" s="24" t="n">
        <x:f>IFERROR(AM193/X193*100,0)</x:f>
        <x:v>1.0248901903367496</x:v>
      </x:c>
      <x:c r="AS193" s="24" t="n">
        <x:f>IFERROR(Z193/X193*100,0)</x:f>
        <x:v>0.7320644216691069</x:v>
      </x:c>
      <x:c r="AT193" s="26" t="n">
        <x:v>-2.9</x:v>
      </x:c>
      <x:c r="AU193" s="26" t="n">
        <x:v>-6.5</x:v>
      </x:c>
      <x:c r="AV193" s="26" t="n">
        <x:v>-33.4</x:v>
      </x:c>
      <x:c r="AW193" s="26" t="n">
        <x:v>-74.7</x:v>
      </x:c>
      <x:c r="AX193" s="26" t="n">
        <x:v>-29.8</x:v>
      </x:c>
      <x:c r="AY193" s="26" t="n">
        <x:v>11</x:v>
      </x:c>
      <x:c r="AZ193" s="26" t="n">
        <x:v>-9.8</x:v>
      </x:c>
      <x:c r="BA193" s="26" t="n">
        <x:v>-99.6</x:v>
      </x:c>
      <x:c r="BB193" s="22" t="n">
        <x:f>IFERROR(AE193/Z193,0)</x:f>
        <x:v>50210</x:v>
      </x:c>
      <x:c r="BC193" s="17" t="n">
        <x:f>IF(OR(V193="out_of_stock",V193="critical_low_stock"),MAX(0,(14-U193)*T193),0)</x:f>
        <x:v>0</x:v>
      </x:c>
      <x:c r="BD193" s="22" t="n">
        <x:f>IFERROR(BC193*M193,0)</x:f>
        <x:v>0</x:v>
      </x:c>
      <x:c r="BE193" s="17" t="str">
        <x:v>mobile_funnel_behavior</x:v>
      </x:c>
      <x:c r="BF193" s="17" t="str">
        <x:v>inspired_by_uploaded_mobile_funnel_screenshot + copied_product_context</x:v>
      </x:c>
    </x:row>
    <x:row r="194">
      <x:c r="A194" s="17" t="n">
        <x:v>193</x:v>
      </x:c>
      <x:c r="B194" s="17" t="str">
        <x:v>MOBILE_EVENT_FUNNEL</x:v>
      </x:c>
      <x:c r="C194" s="20" t="n">
        <x:v>46152</x:v>
      </x:c>
      <x:c r="D194" s="17" t="str">
        <x:v>Mobile Web</x:v>
      </x:c>
      <x:c r="E194" s="17" t="str">
        <x:v>Mobile</x:v>
      </x:c>
      <x:c r="F194" s="17" t="str">
        <x:v>CRM</x:v>
      </x:c>
      <x:c r="G194" s="17" t="n">
        <x:v>99</x:v>
      </x:c>
      <x:c r="H194" s="17" t="str">
        <x:v>PHILIPS</x:v>
      </x:c>
      <x:c r="I194" s="17" t="str">
        <x:v>Other</x:v>
      </x:c>
      <x:c r="J194" s="17" t="str">
        <x:v>Other</x:v>
      </x:c>
      <x:c r="K194" s="17" t="str">
        <x:v>PHILIPS Lumea 9900 Serisi BRI951/03 IPL Tüy Alma, SkinAI, Vücut, Yüz, Koltuk altı, Bikini, 4 Başlık, Çanta</x:v>
      </x:c>
      <x:c r="L194" s="17" t="str">
        <x:v>1247595</x:v>
      </x:c>
      <x:c r="M194" s="22" t="n">
        <x:v>10352</x:v>
      </x:c>
      <x:c r="N194" s="26" t="n">
        <x:v>-5.2</x:v>
      </x:c>
      <x:c r="O194" s="22" t="n">
        <x:v>27</x:v>
      </x:c>
      <x:c r="P194" s="22" t="n">
        <x:v>36</x:v>
      </x:c>
      <x:c r="Q194" s="22" t="n">
        <x:v>0</x:v>
      </x:c>
      <x:c r="R194" s="17" t="n">
        <x:v>14</x:v>
      </x:c>
      <x:c r="S194" s="22" t="n">
        <x:v>7</x:v>
      </x:c>
      <x:c r="T194" s="24" t="n">
        <x:v>0.4</x:v>
      </x:c>
      <x:c r="U194" s="24" t="n">
        <x:f>IFERROR(O194/T194,0)</x:f>
        <x:v>67.5</x:v>
      </x:c>
      <x:c r="V194" s="17" t="str">
        <x:f>IF(O194&lt;=0,"out_of_stock",IF(U194&lt;7,"critical_low_stock",IF(U194&gt;60,"overstock","in_stock")))</x:f>
        <x:v>overstock</x:v>
      </x:c>
      <x:c r="W194" s="17" t="str">
        <x:f>IF(O194&lt;=0,"OOS",IF(AND(U194&lt;7,AC194&gt;=0.5),"High Risk",IF(U194&lt;14,"Medium Risk",IF(U194&gt;60,"Overstock","Healthy"))))</x:f>
        <x:v>Overstock</x:v>
      </x:c>
      <x:c r="X194" s="22" t="n">
        <x:v>420</x:v>
      </x:c>
      <x:c r="Y194" s="22" t="n">
        <x:v>20</x:v>
      </x:c>
      <x:c r="Z194" s="22" t="n">
        <x:v>1</x:v>
      </x:c>
      <x:c r="AA194" s="24" t="n">
        <x:f>IFERROR(Y194/X194*100,0)</x:f>
        <x:v>4.761904761904762</x:v>
      </x:c>
      <x:c r="AB194" s="26" t="n">
        <x:v>-52.5</x:v>
      </x:c>
      <x:c r="AC194" s="24" t="n">
        <x:f>IFERROR(Z194/X194*100,0)</x:f>
        <x:v>0.2380952380952381</x:v>
      </x:c>
      <x:c r="AD194" s="26" t="n">
        <x:v>-16.2</x:v>
      </x:c>
      <x:c r="AE194" s="22" t="n">
        <x:f>IFERROR(Z194*M194,0)</x:f>
        <x:v>10352</x:v>
      </x:c>
      <x:c r="AF194" s="26" t="n">
        <x:v>-16.6</x:v>
      </x:c>
      <x:c r="AG194" s="24" t="n">
        <x:v>36.9</x:v>
      </x:c>
      <x:c r="AH194" s="26" t="n">
        <x:v>12</x:v>
      </x:c>
      <x:c r="AI194" s="22" t="n">
        <x:v>7</x:v>
      </x:c>
      <x:c r="AJ194" s="22" t="n">
        <x:v>5</x:v>
      </x:c>
      <x:c r="AK194" s="22" t="n">
        <x:v>4</x:v>
      </x:c>
      <x:c r="AL194" s="22" t="n">
        <x:v>4</x:v>
      </x:c>
      <x:c r="AM194" s="22" t="n">
        <x:v>3</x:v>
      </x:c>
      <x:c r="AN194" s="24" t="n">
        <x:f>IFERROR(AI194/X194*100,0)</x:f>
        <x:v>1.6666666666666667</x:v>
      </x:c>
      <x:c r="AO194" s="24" t="n">
        <x:f>IFERROR(AJ194/X194*100,0)</x:f>
        <x:v>1.1904761904761905</x:v>
      </x:c>
      <x:c r="AP194" s="24" t="n">
        <x:f>IFERROR(AK194/X194*100,0)</x:f>
        <x:v>0.9523809523809524</x:v>
      </x:c>
      <x:c r="AQ194" s="24" t="n">
        <x:f>IFERROR(AL194/X194*100,0)</x:f>
        <x:v>0.9523809523809524</x:v>
      </x:c>
      <x:c r="AR194" s="24" t="n">
        <x:f>IFERROR(AM194/X194*100,0)</x:f>
        <x:v>0.7142857142857143</x:v>
      </x:c>
      <x:c r="AS194" s="24" t="n">
        <x:f>IFERROR(Z194/X194*100,0)</x:f>
        <x:v>0.2380952380952381</x:v>
      </x:c>
      <x:c r="AT194" s="26" t="n">
        <x:v>-43.7</x:v>
      </x:c>
      <x:c r="AU194" s="26" t="n">
        <x:v>-52.5</x:v>
      </x:c>
      <x:c r="AV194" s="26" t="n">
        <x:v>2.6</x:v>
      </x:c>
      <x:c r="AW194" s="26" t="n">
        <x:v>-9.7</x:v>
      </x:c>
      <x:c r="AX194" s="26" t="n">
        <x:v>36</x:v>
      </x:c>
      <x:c r="AY194" s="26" t="n">
        <x:v>9.1</x:v>
      </x:c>
      <x:c r="AZ194" s="26" t="n">
        <x:v>-28</x:v>
      </x:c>
      <x:c r="BA194" s="26" t="n">
        <x:v>-16.2</x:v>
      </x:c>
      <x:c r="BB194" s="22" t="n">
        <x:f>IFERROR(AE194/Z194,0)</x:f>
        <x:v>10352</x:v>
      </x:c>
      <x:c r="BC194" s="17" t="n">
        <x:f>IF(OR(V194="out_of_stock",V194="critical_low_stock"),MAX(0,(14-U194)*T194),0)</x:f>
        <x:v>0</x:v>
      </x:c>
      <x:c r="BD194" s="22" t="n">
        <x:f>IFERROR(BC194*M194,0)</x:f>
        <x:v>0</x:v>
      </x:c>
      <x:c r="BE194" s="17" t="str">
        <x:v>mobile_funnel_behavior</x:v>
      </x:c>
      <x:c r="BF194" s="17" t="str">
        <x:v>inspired_by_uploaded_mobile_funnel_screenshot + copied_product_context</x:v>
      </x:c>
    </x:row>
    <x:row r="195">
      <x:c r="A195" s="17" t="n">
        <x:v>194</x:v>
      </x:c>
      <x:c r="B195" s="17" t="str">
        <x:v>MOBILE_EVENT_FUNNEL</x:v>
      </x:c>
      <x:c r="C195" s="20" t="n">
        <x:v>46153</x:v>
      </x:c>
      <x:c r="D195" s="17" t="str">
        <x:v>Mobile Web</x:v>
      </x:c>
      <x:c r="E195" s="17" t="str">
        <x:v>Mobile</x:v>
      </x:c>
      <x:c r="F195" s="17" t="str">
        <x:v>Price Comparison</x:v>
      </x:c>
      <x:c r="G195" s="17" t="n">
        <x:v>99</x:v>
      </x:c>
      <x:c r="H195" s="17" t="str">
        <x:v>XIAOMI</x:v>
      </x:c>
      <x:c r="I195" s="17" t="str">
        <x:v>Other</x:v>
      </x:c>
      <x:c r="J195" s="17" t="str">
        <x:v>Other</x:v>
      </x:c>
      <x:c r="K195" s="17" t="str">
        <x:v>XIAOMI Smart Air Purifier 4 Compact Akıllı Hava Temizleyici Beyaz</x:v>
      </x:c>
      <x:c r="L195" s="17" t="str">
        <x:v>1225157</x:v>
      </x:c>
      <x:c r="M195" s="22" t="n">
        <x:v>8096</x:v>
      </x:c>
      <x:c r="N195" s="26" t="n">
        <x:v>4.7</x:v>
      </x:c>
      <x:c r="O195" s="22" t="n">
        <x:v>11</x:v>
      </x:c>
      <x:c r="P195" s="22" t="n">
        <x:v>4</x:v>
      </x:c>
      <x:c r="Q195" s="22" t="n">
        <x:v>70</x:v>
      </x:c>
      <x:c r="R195" s="17" t="n">
        <x:v>21</x:v>
      </x:c>
      <x:c r="S195" s="22" t="n">
        <x:v>39</x:v>
      </x:c>
      <x:c r="T195" s="24" t="n">
        <x:v>1.6</x:v>
      </x:c>
      <x:c r="U195" s="24" t="n">
        <x:f>IFERROR(O195/T195,0)</x:f>
        <x:v>6.875</x:v>
      </x:c>
      <x:c r="V195" s="17" t="str">
        <x:f>IF(O195&lt;=0,"out_of_stock",IF(U195&lt;7,"critical_low_stock",IF(U195&gt;60,"overstock","in_stock")))</x:f>
        <x:v>critical_low_stock</x:v>
      </x:c>
      <x:c r="W195" s="17" t="str">
        <x:f>IF(O195&lt;=0,"OOS",IF(AND(U195&lt;7,AC195&gt;=0.5),"High Risk",IF(U195&lt;14,"Medium Risk",IF(U195&gt;60,"Overstock","Healthy"))))</x:f>
        <x:v>High Risk</x:v>
      </x:c>
      <x:c r="X195" s="22" t="n">
        <x:v>161</x:v>
      </x:c>
      <x:c r="Y195" s="22" t="n">
        <x:v>13</x:v>
      </x:c>
      <x:c r="Z195" s="22" t="n">
        <x:v>1</x:v>
      </x:c>
      <x:c r="AA195" s="24" t="n">
        <x:f>IFERROR(Y195/X195*100,0)</x:f>
        <x:v>8.074534161490684</x:v>
      </x:c>
      <x:c r="AB195" s="26" t="n">
        <x:v>-58.6</x:v>
      </x:c>
      <x:c r="AC195" s="24" t="n">
        <x:f>IFERROR(Z195/X195*100,0)</x:f>
        <x:v>0.6211180124223602</x:v>
      </x:c>
      <x:c r="AD195" s="26" t="n">
        <x:v>-17.1</x:v>
      </x:c>
      <x:c r="AE195" s="22" t="n">
        <x:f>IFERROR(Z195*M195,0)</x:f>
        <x:v>8096</x:v>
      </x:c>
      <x:c r="AF195" s="26" t="n">
        <x:v>-16.2</x:v>
      </x:c>
      <x:c r="AG195" s="24" t="n">
        <x:v>51</x:v>
      </x:c>
      <x:c r="AH195" s="26" t="n">
        <x:v>11.5</x:v>
      </x:c>
      <x:c r="AI195" s="22" t="n">
        <x:v>6</x:v>
      </x:c>
      <x:c r="AJ195" s="22" t="n">
        <x:v>2</x:v>
      </x:c>
      <x:c r="AK195" s="22" t="n">
        <x:v>1</x:v>
      </x:c>
      <x:c r="AL195" s="22" t="n">
        <x:v>1</x:v>
      </x:c>
      <x:c r="AM195" s="22" t="n">
        <x:v>1</x:v>
      </x:c>
      <x:c r="AN195" s="24" t="n">
        <x:f>IFERROR(AI195/X195*100,0)</x:f>
        <x:v>3.7267080745341614</x:v>
      </x:c>
      <x:c r="AO195" s="24" t="n">
        <x:f>IFERROR(AJ195/X195*100,0)</x:f>
        <x:v>1.2422360248447204</x:v>
      </x:c>
      <x:c r="AP195" s="24" t="n">
        <x:f>IFERROR(AK195/X195*100,0)</x:f>
        <x:v>0.6211180124223602</x:v>
      </x:c>
      <x:c r="AQ195" s="24" t="n">
        <x:f>IFERROR(AL195/X195*100,0)</x:f>
        <x:v>0.6211180124223602</x:v>
      </x:c>
      <x:c r="AR195" s="24" t="n">
        <x:f>IFERROR(AM195/X195*100,0)</x:f>
        <x:v>0.6211180124223602</x:v>
      </x:c>
      <x:c r="AS195" s="24" t="n">
        <x:f>IFERROR(Z195/X195*100,0)</x:f>
        <x:v>0.6211180124223602</x:v>
      </x:c>
      <x:c r="AT195" s="26" t="n">
        <x:v>17.1</x:v>
      </x:c>
      <x:c r="AU195" s="26" t="n">
        <x:v>-58.6</x:v>
      </x:c>
      <x:c r="AV195" s="26" t="n">
        <x:v>-44.7</x:v>
      </x:c>
      <x:c r="AW195" s="26" t="n">
        <x:v>-63.5</x:v>
      </x:c>
      <x:c r="AX195" s="26" t="n">
        <x:v>17.3</x:v>
      </x:c>
      <x:c r="AY195" s="26" t="n">
        <x:v>-23.2</x:v>
      </x:c>
      <x:c r="AZ195" s="26" t="n">
        <x:v>-16.9</x:v>
      </x:c>
      <x:c r="BA195" s="26" t="n">
        <x:v>-17.1</x:v>
      </x:c>
      <x:c r="BB195" s="22" t="n">
        <x:f>IFERROR(AE195/Z195,0)</x:f>
        <x:v>8096</x:v>
      </x:c>
      <x:c r="BC195" s="17" t="n">
        <x:f>IF(OR(V195="out_of_stock",V195="critical_low_stock"),MAX(0,(14-U195)*T195),0)</x:f>
        <x:v>11.4</x:v>
      </x:c>
      <x:c r="BD195" s="22" t="n">
        <x:f>IFERROR(BC195*M195,0)</x:f>
        <x:v>92294.40000000001</x:v>
      </x:c>
      <x:c r="BE195" s="17" t="str">
        <x:v>mobile_funnel_behavior</x:v>
      </x:c>
      <x:c r="BF195" s="17" t="str">
        <x:v>inspired_by_uploaded_mobile_funnel_screenshot + copied_product_context</x:v>
      </x:c>
    </x:row>
    <x:row r="196">
      <x:c r="A196" s="17" t="n">
        <x:v>195</x:v>
      </x:c>
      <x:c r="B196" s="17" t="str">
        <x:v>MOBILE_EVENT_FUNNEL</x:v>
      </x:c>
      <x:c r="C196" s="20" t="n">
        <x:v>46154</x:v>
      </x:c>
      <x:c r="D196" s="17" t="str">
        <x:v>Mobile Web</x:v>
      </x:c>
      <x:c r="E196" s="17" t="str">
        <x:v>Mobile</x:v>
      </x:c>
      <x:c r="F196" s="17" t="str">
        <x:v>Search Paid Generic</x:v>
      </x:c>
      <x:c r="G196" s="17" t="n">
        <x:v>28</x:v>
      </x:c>
      <x:c r="H196" s="17" t="str">
        <x:v>APPLE</x:v>
      </x:c>
      <x:c r="I196" s="17" t="str">
        <x:v>Telefon</x:v>
      </x:c>
      <x:c r="J196" s="17" t="str">
        <x:v>Cep Telefonları</x:v>
      </x:c>
      <x:c r="K196" s="17" t="str">
        <x:v>APPLE iPhone 17 Pro Max 512 GB Akıllı Telefon Kozmik Turuncu MFYT4TU/A</x:v>
      </x:c>
      <x:c r="L196" s="17" t="str">
        <x:v>1249256</x:v>
      </x:c>
      <x:c r="M196" s="22" t="n">
        <x:v>91659</x:v>
      </x:c>
      <x:c r="N196" s="26" t="n">
        <x:v>23.9</x:v>
      </x:c>
      <x:c r="O196" s="22" t="n">
        <x:v>55</x:v>
      </x:c>
      <x:c r="P196" s="22" t="n">
        <x:v>65</x:v>
      </x:c>
      <x:c r="Q196" s="22" t="n">
        <x:v>0</x:v>
      </x:c>
      <x:c r="R196" s="17" t="n">
        <x:v>7</x:v>
      </x:c>
      <x:c r="S196" s="22" t="n">
        <x:v>13</x:v>
      </x:c>
      <x:c r="T196" s="24" t="n">
        <x:v>1.3</x:v>
      </x:c>
      <x:c r="U196" s="24" t="n">
        <x:f>IFERROR(O196/T196,0)</x:f>
        <x:v>42.30769230769231</x:v>
      </x:c>
      <x:c r="V196" s="17" t="str">
        <x:f>IF(O196&lt;=0,"out_of_stock",IF(U196&lt;7,"critical_low_stock",IF(U196&gt;60,"overstock","in_stock")))</x:f>
        <x:v>in_stock</x:v>
      </x:c>
      <x:c r="W196" s="17" t="str">
        <x:f>IF(O196&lt;=0,"OOS",IF(AND(U196&lt;7,AC196&gt;=0.5),"High Risk",IF(U196&lt;14,"Medium Risk",IF(U196&gt;60,"Overstock","Healthy"))))</x:f>
        <x:v>Healthy</x:v>
      </x:c>
      <x:c r="X196" s="22" t="n">
        <x:v>311</x:v>
      </x:c>
      <x:c r="Y196" s="22" t="n">
        <x:v>10</x:v>
      </x:c>
      <x:c r="Z196" s="22" t="n">
        <x:v>1</x:v>
      </x:c>
      <x:c r="AA196" s="24" t="n">
        <x:f>IFERROR(Y196/X196*100,0)</x:f>
        <x:v>3.215434083601286</x:v>
      </x:c>
      <x:c r="AB196" s="26" t="n">
        <x:v>-44.8</x:v>
      </x:c>
      <x:c r="AC196" s="24" t="n">
        <x:f>IFERROR(Z196/X196*100,0)</x:f>
        <x:v>0.3215434083601286</x:v>
      </x:c>
      <x:c r="AD196" s="26" t="n">
        <x:v>-74.7</x:v>
      </x:c>
      <x:c r="AE196" s="22" t="n">
        <x:f>IFERROR(Z196*M196,0)</x:f>
        <x:v>91659</x:v>
      </x:c>
      <x:c r="AF196" s="26" t="n">
        <x:v>-56.4</x:v>
      </x:c>
      <x:c r="AG196" s="24" t="n">
        <x:v>55.9</x:v>
      </x:c>
      <x:c r="AH196" s="26" t="n">
        <x:v>12.7</x:v>
      </x:c>
      <x:c r="AI196" s="22" t="n">
        <x:v>6</x:v>
      </x:c>
      <x:c r="AJ196" s="22" t="n">
        <x:v>4</x:v>
      </x:c>
      <x:c r="AK196" s="22" t="n">
        <x:v>2</x:v>
      </x:c>
      <x:c r="AL196" s="22" t="n">
        <x:v>2</x:v>
      </x:c>
      <x:c r="AM196" s="22" t="n">
        <x:v>1</x:v>
      </x:c>
      <x:c r="AN196" s="24" t="n">
        <x:f>IFERROR(AI196/X196*100,0)</x:f>
        <x:v>1.929260450160772</x:v>
      </x:c>
      <x:c r="AO196" s="24" t="n">
        <x:f>IFERROR(AJ196/X196*100,0)</x:f>
        <x:v>1.2861736334405145</x:v>
      </x:c>
      <x:c r="AP196" s="24" t="n">
        <x:f>IFERROR(AK196/X196*100,0)</x:f>
        <x:v>0.6430868167202572</x:v>
      </x:c>
      <x:c r="AQ196" s="24" t="n">
        <x:f>IFERROR(AL196/X196*100,0)</x:f>
        <x:v>0.6430868167202572</x:v>
      </x:c>
      <x:c r="AR196" s="24" t="n">
        <x:f>IFERROR(AM196/X196*100,0)</x:f>
        <x:v>0.3215434083601286</x:v>
      </x:c>
      <x:c r="AS196" s="24" t="n">
        <x:f>IFERROR(Z196/X196*100,0)</x:f>
        <x:v>0.3215434083601286</x:v>
      </x:c>
      <x:c r="AT196" s="26" t="n">
        <x:v>-3.7</x:v>
      </x:c>
      <x:c r="AU196" s="26" t="n">
        <x:v>-44.8</x:v>
      </x:c>
      <x:c r="AV196" s="26" t="n">
        <x:v>-5.2</x:v>
      </x:c>
      <x:c r="AW196" s="26" t="n">
        <x:v>-56.7</x:v>
      </x:c>
      <x:c r="AX196" s="26" t="n">
        <x:v>0</x:v>
      </x:c>
      <x:c r="AY196" s="26" t="n">
        <x:v>16.5</x:v>
      </x:c>
      <x:c r="AZ196" s="26" t="n">
        <x:v>-38.5</x:v>
      </x:c>
      <x:c r="BA196" s="26" t="n">
        <x:v>-74.7</x:v>
      </x:c>
      <x:c r="BB196" s="22" t="n">
        <x:f>IFERROR(AE196/Z196,0)</x:f>
        <x:v>91659</x:v>
      </x:c>
      <x:c r="BC196" s="17" t="n">
        <x:f>IF(OR(V196="out_of_stock",V196="critical_low_stock"),MAX(0,(14-U196)*T196),0)</x:f>
        <x:v>0</x:v>
      </x:c>
      <x:c r="BD196" s="22" t="n">
        <x:f>IFERROR(BC196*M196,0)</x:f>
        <x:v>0</x:v>
      </x:c>
      <x:c r="BE196" s="17" t="str">
        <x:v>mobile_funnel_behavior</x:v>
      </x:c>
      <x:c r="BF196" s="17" t="str">
        <x:v>inspired_by_uploaded_mobile_funnel_screenshot + copied_product_context</x:v>
      </x:c>
    </x:row>
    <x:row r="197">
      <x:c r="A197" s="17" t="n">
        <x:v>196</x:v>
      </x:c>
      <x:c r="B197" s="17" t="str">
        <x:v>MOBILE_EVENT_FUNNEL</x:v>
      </x:c>
      <x:c r="C197" s="20" t="n">
        <x:v>46155</x:v>
      </x:c>
      <x:c r="D197" s="17" t="str">
        <x:v>Mobile Web</x:v>
      </x:c>
      <x:c r="E197" s="17" t="str">
        <x:v>Mobile</x:v>
      </x:c>
      <x:c r="F197" s="17" t="str">
        <x:v>Search Organic Generic</x:v>
      </x:c>
      <x:c r="G197" s="17" t="n">
        <x:v>28</x:v>
      </x:c>
      <x:c r="H197" s="17" t="str">
        <x:v>SAMSUNG</x:v>
      </x:c>
      <x:c r="I197" s="17" t="str">
        <x:v>Telefon</x:v>
      </x:c>
      <x:c r="J197" s="17" t="str">
        <x:v>Cep Telefonları</x:v>
      </x:c>
      <x:c r="K197" s="17" t="str">
        <x:v>SAMSUNG Galaxy A56 5G 8/256GB Akıllı Telefon Gri</x:v>
      </x:c>
      <x:c r="L197" s="17" t="str">
        <x:v>1245761</x:v>
      </x:c>
      <x:c r="M197" s="22" t="n">
        <x:v>28689</x:v>
      </x:c>
      <x:c r="N197" s="26" t="n">
        <x:v>-16</x:v>
      </x:c>
      <x:c r="O197" s="22" t="n">
        <x:v>45</x:v>
      </x:c>
      <x:c r="P197" s="22" t="n">
        <x:v>13</x:v>
      </x:c>
      <x:c r="Q197" s="22" t="n">
        <x:v>0</x:v>
      </x:c>
      <x:c r="R197" s="17" t="n">
        <x:v>10</x:v>
      </x:c>
      <x:c r="S197" s="22" t="n">
        <x:v>4</x:v>
      </x:c>
      <x:c r="T197" s="24" t="n">
        <x:v>0.3</x:v>
      </x:c>
      <x:c r="U197" s="24" t="n">
        <x:f>IFERROR(O197/T197,0)</x:f>
        <x:v>150</x:v>
      </x:c>
      <x:c r="V197" s="17" t="str">
        <x:f>IF(O197&lt;=0,"out_of_stock",IF(U197&lt;7,"critical_low_stock",IF(U197&gt;60,"overstock","in_stock")))</x:f>
        <x:v>overstock</x:v>
      </x:c>
      <x:c r="W197" s="17" t="str">
        <x:f>IF(O197&lt;=0,"OOS",IF(AND(U197&lt;7,AC197&gt;=0.5),"High Risk",IF(U197&lt;14,"Medium Risk",IF(U197&gt;60,"Overstock","Healthy"))))</x:f>
        <x:v>Overstock</x:v>
      </x:c>
      <x:c r="X197" s="22" t="n">
        <x:v>583</x:v>
      </x:c>
      <x:c r="Y197" s="22" t="n">
        <x:v>16</x:v>
      </x:c>
      <x:c r="Z197" s="22" t="n">
        <x:v>1</x:v>
      </x:c>
      <x:c r="AA197" s="24" t="n">
        <x:f>IFERROR(Y197/X197*100,0)</x:f>
        <x:v>2.7444253859348198</x:v>
      </x:c>
      <x:c r="AB197" s="26" t="n">
        <x:v>-91.4</x:v>
      </x:c>
      <x:c r="AC197" s="24" t="n">
        <x:f>IFERROR(Z197/X197*100,0)</x:f>
        <x:v>0.17152658662092624</x:v>
      </x:c>
      <x:c r="AD197" s="26" t="n">
        <x:v>17.2</x:v>
      </x:c>
      <x:c r="AE197" s="22" t="n">
        <x:f>IFERROR(Z197*M197,0)</x:f>
        <x:v>28689</x:v>
      </x:c>
      <x:c r="AF197" s="26" t="n">
        <x:v>5.7</x:v>
      </x:c>
      <x:c r="AG197" s="24" t="n">
        <x:v>56.6</x:v>
      </x:c>
      <x:c r="AH197" s="26" t="n">
        <x:v>-0.9</x:v>
      </x:c>
      <x:c r="AI197" s="22" t="n">
        <x:v>11</x:v>
      </x:c>
      <x:c r="AJ197" s="22" t="n">
        <x:v>7</x:v>
      </x:c>
      <x:c r="AK197" s="22" t="n">
        <x:v>4</x:v>
      </x:c>
      <x:c r="AL197" s="22" t="n">
        <x:v>4</x:v>
      </x:c>
      <x:c r="AM197" s="22" t="n">
        <x:v>3</x:v>
      </x:c>
      <x:c r="AN197" s="24" t="n">
        <x:f>IFERROR(AI197/X197*100,0)</x:f>
        <x:v>1.8867924528301887</x:v>
      </x:c>
      <x:c r="AO197" s="24" t="n">
        <x:f>IFERROR(AJ197/X197*100,0)</x:f>
        <x:v>1.2006861063464835</x:v>
      </x:c>
      <x:c r="AP197" s="24" t="n">
        <x:f>IFERROR(AK197/X197*100,0)</x:f>
        <x:v>0.6861063464837049</x:v>
      </x:c>
      <x:c r="AQ197" s="24" t="n">
        <x:f>IFERROR(AL197/X197*100,0)</x:f>
        <x:v>0.6861063464837049</x:v>
      </x:c>
      <x:c r="AR197" s="24" t="n">
        <x:f>IFERROR(AM197/X197*100,0)</x:f>
        <x:v>0.5145797598627788</x:v>
      </x:c>
      <x:c r="AS197" s="24" t="n">
        <x:f>IFERROR(Z197/X197*100,0)</x:f>
        <x:v>0.17152658662092624</x:v>
      </x:c>
      <x:c r="AT197" s="26" t="n">
        <x:v>-1.3</x:v>
      </x:c>
      <x:c r="AU197" s="26" t="n">
        <x:v>-91.4</x:v>
      </x:c>
      <x:c r="AV197" s="26" t="n">
        <x:v>4.4</x:v>
      </x:c>
      <x:c r="AW197" s="26" t="n">
        <x:v>-23.6</x:v>
      </x:c>
      <x:c r="AX197" s="26" t="n">
        <x:v>3.3</x:v>
      </x:c>
      <x:c r="AY197" s="26" t="n">
        <x:v>-4.3</x:v>
      </x:c>
      <x:c r="AZ197" s="26" t="n">
        <x:v>-21.4</x:v>
      </x:c>
      <x:c r="BA197" s="26" t="n">
        <x:v>17.2</x:v>
      </x:c>
      <x:c r="BB197" s="22" t="n">
        <x:f>IFERROR(AE197/Z197,0)</x:f>
        <x:v>28689</x:v>
      </x:c>
      <x:c r="BC197" s="17" t="n">
        <x:f>IF(OR(V197="out_of_stock",V197="critical_low_stock"),MAX(0,(14-U197)*T197),0)</x:f>
        <x:v>0</x:v>
      </x:c>
      <x:c r="BD197" s="22" t="n">
        <x:f>IFERROR(BC197*M197,0)</x:f>
        <x:v>0</x:v>
      </x:c>
      <x:c r="BE197" s="17" t="str">
        <x:v>mobile_funnel_behavior</x:v>
      </x:c>
      <x:c r="BF197" s="17" t="str">
        <x:v>inspired_by_uploaded_mobile_funnel_screenshot + copied_product_context</x:v>
      </x:c>
    </x:row>
    <x:row r="198">
      <x:c r="A198" s="17" t="n">
        <x:v>197</x:v>
      </x:c>
      <x:c r="B198" s="17" t="str">
        <x:v>MOBILE_EVENT_FUNNEL</x:v>
      </x:c>
      <x:c r="C198" s="20" t="n">
        <x:v>46156</x:v>
      </x:c>
      <x:c r="D198" s="17" t="str">
        <x:v>Mobile Web</x:v>
      </x:c>
      <x:c r="E198" s="17" t="str">
        <x:v>Mobile</x:v>
      </x:c>
      <x:c r="F198" s="17" t="str">
        <x:v>Search Paid Brand</x:v>
      </x:c>
      <x:c r="G198" s="17" t="n">
        <x:v>28</x:v>
      </x:c>
      <x:c r="H198" s="17" t="str">
        <x:v>APPLE</x:v>
      </x:c>
      <x:c r="I198" s="17" t="str">
        <x:v>Telefon</x:v>
      </x:c>
      <x:c r="J198" s="17" t="str">
        <x:v>Cep Telefonları</x:v>
      </x:c>
      <x:c r="K198" s="17" t="str">
        <x:v>APPLE iPhone 17 256 GB Akıllı Telefon Beyaz MG6K4TU/A</x:v>
      </x:c>
      <x:c r="L198" s="17" t="str">
        <x:v>1249222</x:v>
      </x:c>
      <x:c r="M198" s="22" t="n">
        <x:v>69418</x:v>
      </x:c>
      <x:c r="N198" s="26" t="n">
        <x:v>-20.9</x:v>
      </x:c>
      <x:c r="O198" s="22" t="n">
        <x:v>98</x:v>
      </x:c>
      <x:c r="P198" s="22" t="n">
        <x:v>22</x:v>
      </x:c>
      <x:c r="Q198" s="22" t="n">
        <x:v>0</x:v>
      </x:c>
      <x:c r="R198" s="17" t="n">
        <x:v>10</x:v>
      </x:c>
      <x:c r="S198" s="22" t="n">
        <x:v>28</x:v>
      </x:c>
      <x:c r="T198" s="24" t="n">
        <x:v>2.1</x:v>
      </x:c>
      <x:c r="U198" s="24" t="n">
        <x:f>IFERROR(O198/T198,0)</x:f>
        <x:v>46.666666666666664</x:v>
      </x:c>
      <x:c r="V198" s="17" t="str">
        <x:f>IF(O198&lt;=0,"out_of_stock",IF(U198&lt;7,"critical_low_stock",IF(U198&gt;60,"overstock","in_stock")))</x:f>
        <x:v>in_stock</x:v>
      </x:c>
      <x:c r="W198" s="17" t="str">
        <x:f>IF(O198&lt;=0,"OOS",IF(AND(U198&lt;7,AC198&gt;=0.5),"High Risk",IF(U198&lt;14,"Medium Risk",IF(U198&gt;60,"Overstock","Healthy"))))</x:f>
        <x:v>Healthy</x:v>
      </x:c>
      <x:c r="X198" s="22" t="n">
        <x:v>813</x:v>
      </x:c>
      <x:c r="Y198" s="22" t="n">
        <x:v>63</x:v>
      </x:c>
      <x:c r="Z198" s="22" t="n">
        <x:v>6</x:v>
      </x:c>
      <x:c r="AA198" s="24" t="n">
        <x:f>IFERROR(Y198/X198*100,0)</x:f>
        <x:v>7.7490774907749085</x:v>
      </x:c>
      <x:c r="AB198" s="26" t="n">
        <x:v>4.9</x:v>
      </x:c>
      <x:c r="AC198" s="24" t="n">
        <x:f>IFERROR(Z198/X198*100,0)</x:f>
        <x:v>0.7380073800738007</x:v>
      </x:c>
      <x:c r="AD198" s="26" t="n">
        <x:v>21.5</x:v>
      </x:c>
      <x:c r="AE198" s="22" t="n">
        <x:f>IFERROR(Z198*M198,0)</x:f>
        <x:v>416508</x:v>
      </x:c>
      <x:c r="AF198" s="26" t="n">
        <x:v>-0.5</x:v>
      </x:c>
      <x:c r="AG198" s="24" t="n">
        <x:v>37.5</x:v>
      </x:c>
      <x:c r="AH198" s="26" t="n">
        <x:v>4.2</x:v>
      </x:c>
      <x:c r="AI198" s="22" t="n">
        <x:v>34</x:v>
      </x:c>
      <x:c r="AJ198" s="22" t="n">
        <x:v>15</x:v>
      </x:c>
      <x:c r="AK198" s="22" t="n">
        <x:v>12</x:v>
      </x:c>
      <x:c r="AL198" s="22" t="n">
        <x:v>12</x:v>
      </x:c>
      <x:c r="AM198" s="22" t="n">
        <x:v>8</x:v>
      </x:c>
      <x:c r="AN198" s="24" t="n">
        <x:f>IFERROR(AI198/X198*100,0)</x:f>
        <x:v>4.182041820418204</x:v>
      </x:c>
      <x:c r="AO198" s="24" t="n">
        <x:f>IFERROR(AJ198/X198*100,0)</x:f>
        <x:v>1.8450184501845017</x:v>
      </x:c>
      <x:c r="AP198" s="24" t="n">
        <x:f>IFERROR(AK198/X198*100,0)</x:f>
        <x:v>1.4760147601476015</x:v>
      </x:c>
      <x:c r="AQ198" s="24" t="n">
        <x:f>IFERROR(AL198/X198*100,0)</x:f>
        <x:v>1.4760147601476015</x:v>
      </x:c>
      <x:c r="AR198" s="24" t="n">
        <x:f>IFERROR(AM198/X198*100,0)</x:f>
        <x:v>0.984009840098401</x:v>
      </x:c>
      <x:c r="AS198" s="24" t="n">
        <x:f>IFERROR(Z198/X198*100,0)</x:f>
        <x:v>0.7380073800738007</x:v>
      </x:c>
      <x:c r="AT198" s="26" t="n">
        <x:v>15.8</x:v>
      </x:c>
      <x:c r="AU198" s="26" t="n">
        <x:v>4.9</x:v>
      </x:c>
      <x:c r="AV198" s="26" t="n">
        <x:v>-5.8</x:v>
      </x:c>
      <x:c r="AW198" s="26" t="n">
        <x:v>-86.4</x:v>
      </x:c>
      <x:c r="AX198" s="26" t="n">
        <x:v>22.2</x:v>
      </x:c>
      <x:c r="AY198" s="26" t="n">
        <x:v>9.3</x:v>
      </x:c>
      <x:c r="AZ198" s="26" t="n">
        <x:v>-17.8</x:v>
      </x:c>
      <x:c r="BA198" s="26" t="n">
        <x:v>21.5</x:v>
      </x:c>
      <x:c r="BB198" s="22" t="n">
        <x:f>IFERROR(AE198/Z198,0)</x:f>
        <x:v>69418</x:v>
      </x:c>
      <x:c r="BC198" s="17" t="n">
        <x:f>IF(OR(V198="out_of_stock",V198="critical_low_stock"),MAX(0,(14-U198)*T198),0)</x:f>
        <x:v>0</x:v>
      </x:c>
      <x:c r="BD198" s="22" t="n">
        <x:f>IFERROR(BC198*M198,0)</x:f>
        <x:v>0</x:v>
      </x:c>
      <x:c r="BE198" s="17" t="str">
        <x:v>mobile_funnel_behavior</x:v>
      </x:c>
      <x:c r="BF198" s="17" t="str">
        <x:v>inspired_by_uploaded_mobile_funnel_screenshot + copied_product_context</x:v>
      </x:c>
    </x:row>
    <x:row r="199">
      <x:c r="A199" s="17" t="n">
        <x:v>198</x:v>
      </x:c>
      <x:c r="B199" s="17" t="str">
        <x:v>MOBILE_EVENT_FUNNEL</x:v>
      </x:c>
      <x:c r="C199" s="20" t="n">
        <x:v>46143</x:v>
      </x:c>
      <x:c r="D199" s="17" t="str">
        <x:v>Mobile Web</x:v>
      </x:c>
      <x:c r="E199" s="17" t="str">
        <x:v>Mobile</x:v>
      </x:c>
      <x:c r="F199" s="17" t="str">
        <x:v>Price Comparison</x:v>
      </x:c>
      <x:c r="G199" s="17" t="n">
        <x:v>21</x:v>
      </x:c>
      <x:c r="H199" s="17" t="str">
        <x:v>DJI</x:v>
      </x:c>
      <x:c r="I199" s="17" t="str">
        <x:v>Foto &amp; Kamera &amp; Drone</x:v>
      </x:c>
      <x:c r="J199" s="17" t="str">
        <x:v>Drone</x:v>
      </x:c>
      <x:c r="K199" s="17" t="str">
        <x:v>DJI Osmo Pocket 3 Creator Combo</x:v>
      </x:c>
      <x:c r="L199" s="17" t="str">
        <x:v>1234614</x:v>
      </x:c>
      <x:c r="M199" s="22" t="n">
        <x:v>15767</x:v>
      </x:c>
      <x:c r="N199" s="26" t="n">
        <x:v>-1.7</x:v>
      </x:c>
      <x:c r="O199" s="22" t="n">
        <x:v>24</x:v>
      </x:c>
      <x:c r="P199" s="22" t="n">
        <x:v>20</x:v>
      </x:c>
      <x:c r="Q199" s="22" t="n">
        <x:v>0</x:v>
      </x:c>
      <x:c r="R199" s="17" t="n">
        <x:v>7</x:v>
      </x:c>
      <x:c r="S199" s="22" t="n">
        <x:v>16</x:v>
      </x:c>
      <x:c r="T199" s="24" t="n">
        <x:v>1.6</x:v>
      </x:c>
      <x:c r="U199" s="24" t="n">
        <x:f>IFERROR(O199/T199,0)</x:f>
        <x:v>15</x:v>
      </x:c>
      <x:c r="V199" s="17" t="str">
        <x:f>IF(O199&lt;=0,"out_of_stock",IF(U199&lt;7,"critical_low_stock",IF(U199&gt;60,"overstock","in_stock")))</x:f>
        <x:v>in_stock</x:v>
      </x:c>
      <x:c r="W199" s="17" t="str">
        <x:f>IF(O199&lt;=0,"OOS",IF(AND(U199&lt;7,AC199&gt;=0.5),"High Risk",IF(U199&lt;14,"Medium Risk",IF(U199&gt;60,"Overstock","Healthy"))))</x:f>
        <x:v>Healthy</x:v>
      </x:c>
      <x:c r="X199" s="22" t="n">
        <x:v>1055</x:v>
      </x:c>
      <x:c r="Y199" s="22" t="n">
        <x:v>109</x:v>
      </x:c>
      <x:c r="Z199" s="22" t="n">
        <x:v>10</x:v>
      </x:c>
      <x:c r="AA199" s="24" t="n">
        <x:f>IFERROR(Y199/X199*100,0)</x:f>
        <x:v>10.33175355450237</x:v>
      </x:c>
      <x:c r="AB199" s="26" t="n">
        <x:v>-33.7</x:v>
      </x:c>
      <x:c r="AC199" s="24" t="n">
        <x:f>IFERROR(Z199/X199*100,0)</x:f>
        <x:v>0.9478672985781991</x:v>
      </x:c>
      <x:c r="AD199" s="26" t="n">
        <x:v>-25</x:v>
      </x:c>
      <x:c r="AE199" s="22" t="n">
        <x:f>IFERROR(Z199*M199,0)</x:f>
        <x:v>157670</x:v>
      </x:c>
      <x:c r="AF199" s="26" t="n">
        <x:v>-25</x:v>
      </x:c>
      <x:c r="AG199" s="24" t="n">
        <x:v>51.8</x:v>
      </x:c>
      <x:c r="AH199" s="26" t="n">
        <x:v>-0.2</x:v>
      </x:c>
      <x:c r="AI199" s="22" t="n">
        <x:v>69</x:v>
      </x:c>
      <x:c r="AJ199" s="22" t="n">
        <x:v>55</x:v>
      </x:c>
      <x:c r="AK199" s="22" t="n">
        <x:v>37</x:v>
      </x:c>
      <x:c r="AL199" s="22" t="n">
        <x:v>33</x:v>
      </x:c>
      <x:c r="AM199" s="22" t="n">
        <x:v>19</x:v>
      </x:c>
      <x:c r="AN199" s="24" t="n">
        <x:f>IFERROR(AI199/X199*100,0)</x:f>
        <x:v>6.540284360189573</x:v>
      </x:c>
      <x:c r="AO199" s="24" t="n">
        <x:f>IFERROR(AJ199/X199*100,0)</x:f>
        <x:v>5.213270142180095</x:v>
      </x:c>
      <x:c r="AP199" s="24" t="n">
        <x:f>IFERROR(AK199/X199*100,0)</x:f>
        <x:v>3.5071090047393367</x:v>
      </x:c>
      <x:c r="AQ199" s="24" t="n">
        <x:f>IFERROR(AL199/X199*100,0)</x:f>
        <x:v>3.1279620853080567</x:v>
      </x:c>
      <x:c r="AR199" s="24" t="n">
        <x:f>IFERROR(AM199/X199*100,0)</x:f>
        <x:v>1.8009478672985781</x:v>
      </x:c>
      <x:c r="AS199" s="24" t="n">
        <x:f>IFERROR(Z199/X199*100,0)</x:f>
        <x:v>0.9478672985781991</x:v>
      </x:c>
      <x:c r="AT199" s="26" t="n">
        <x:v>2.5</x:v>
      </x:c>
      <x:c r="AU199" s="26" t="n">
        <x:v>-33.7</x:v>
      </x:c>
      <x:c r="AV199" s="26" t="n">
        <x:v>-58.6</x:v>
      </x:c>
      <x:c r="AW199" s="26" t="n">
        <x:v>-104.9</x:v>
      </x:c>
      <x:c r="AX199" s="26" t="n">
        <x:v>1.7</x:v>
      </x:c>
      <x:c r="AY199" s="26" t="n">
        <x:v>7.1</x:v>
      </x:c>
      <x:c r="AZ199" s="26" t="n">
        <x:v>13.9</x:v>
      </x:c>
      <x:c r="BA199" s="26" t="n">
        <x:v>-25</x:v>
      </x:c>
      <x:c r="BB199" s="22" t="n">
        <x:f>IFERROR(AE199/Z199,0)</x:f>
        <x:v>15767</x:v>
      </x:c>
      <x:c r="BC199" s="17" t="n">
        <x:f>IF(OR(V199="out_of_stock",V199="critical_low_stock"),MAX(0,(14-U199)*T199),0)</x:f>
        <x:v>0</x:v>
      </x:c>
      <x:c r="BD199" s="22" t="n">
        <x:f>IFERROR(BC199*M199,0)</x:f>
        <x:v>0</x:v>
      </x:c>
      <x:c r="BE199" s="17" t="str">
        <x:v>mobile_funnel_behavior</x:v>
      </x:c>
      <x:c r="BF199" s="17" t="str">
        <x:v>inspired_by_uploaded_mobile_funnel_screenshot + copied_product_context</x:v>
      </x:c>
    </x:row>
    <x:row r="200">
      <x:c r="A200" s="17" t="n">
        <x:v>199</x:v>
      </x:c>
      <x:c r="B200" s="17" t="str">
        <x:v>MOBILE_EVENT_FUNNEL</x:v>
      </x:c>
      <x:c r="C200" s="20" t="n">
        <x:v>46144</x:v>
      </x:c>
      <x:c r="D200" s="17" t="str">
        <x:v>Mobile Web</x:v>
      </x:c>
      <x:c r="E200" s="17" t="str">
        <x:v>Mobile</x:v>
      </x:c>
      <x:c r="F200" s="17" t="str">
        <x:v>Price Comparison</x:v>
      </x:c>
      <x:c r="G200" s="17" t="n">
        <x:v>99</x:v>
      </x:c>
      <x:c r="H200" s="17" t="str">
        <x:v>PHILIPS</x:v>
      </x:c>
      <x:c r="I200" s="17" t="str">
        <x:v>Other</x:v>
      </x:c>
      <x:c r="J200" s="17" t="str">
        <x:v>Other</x:v>
      </x:c>
      <x:c r="K200" s="17" t="str">
        <x:v>PHILIPS Lumea 8000 Serisi BRI940/00 IPL Tüy Alma, Vücut için 1 Başlık, Çanta</x:v>
      </x:c>
      <x:c r="L200" s="17" t="str">
        <x:v>1232599</x:v>
      </x:c>
      <x:c r="M200" s="22" t="n">
        <x:v>17976</x:v>
      </x:c>
      <x:c r="N200" s="26" t="n">
        <x:v>-13</x:v>
      </x:c>
      <x:c r="O200" s="22" t="n">
        <x:v>6</x:v>
      </x:c>
      <x:c r="P200" s="22" t="n">
        <x:v>9</x:v>
      </x:c>
      <x:c r="Q200" s="22" t="n">
        <x:v>34</x:v>
      </x:c>
      <x:c r="R200" s="17" t="n">
        <x:v>21</x:v>
      </x:c>
      <x:c r="S200" s="22" t="n">
        <x:v>24</x:v>
      </x:c>
      <x:c r="T200" s="24" t="n">
        <x:v>1</x:v>
      </x:c>
      <x:c r="U200" s="24" t="n">
        <x:f>IFERROR(O200/T200,0)</x:f>
        <x:v>6</x:v>
      </x:c>
      <x:c r="V200" s="17" t="str">
        <x:f>IF(O200&lt;=0,"out_of_stock",IF(U200&lt;7,"critical_low_stock",IF(U200&gt;60,"overstock","in_stock")))</x:f>
        <x:v>critical_low_stock</x:v>
      </x:c>
      <x:c r="W200" s="17" t="str">
        <x:f>IF(O200&lt;=0,"OOS",IF(AND(U200&lt;7,AC200&gt;=0.5),"High Risk",IF(U200&lt;14,"Medium Risk",IF(U200&gt;60,"Overstock","Healthy"))))</x:f>
        <x:v>Medium Risk</x:v>
      </x:c>
      <x:c r="X200" s="22" t="n">
        <x:v>169</x:v>
      </x:c>
      <x:c r="Y200" s="22" t="n">
        <x:v>6</x:v>
      </x:c>
      <x:c r="Z200" s="22" t="n">
        <x:v>0</x:v>
      </x:c>
      <x:c r="AA200" s="24" t="n">
        <x:f>IFERROR(Y200/X200*100,0)</x:f>
        <x:v>3.5502958579881656</x:v>
      </x:c>
      <x:c r="AB200" s="26" t="n">
        <x:v>-21.9</x:v>
      </x:c>
      <x:c r="AC200" s="24" t="n">
        <x:f>IFERROR(Z200/X200*100,0)</x:f>
        <x:v>0</x:v>
      </x:c>
      <x:c r="AD200" s="26" t="n">
        <x:v>-60.7</x:v>
      </x:c>
      <x:c r="AE200" s="22" t="n">
        <x:f>IFERROR(Z200*M200,0)</x:f>
        <x:v>0</x:v>
      </x:c>
      <x:c r="AF200" s="26" t="n">
        <x:v>-83.3</x:v>
      </x:c>
      <x:c r="AG200" s="24" t="n">
        <x:v>40.4</x:v>
      </x:c>
      <x:c r="AH200" s="26" t="n">
        <x:v>5.9</x:v>
      </x:c>
      <x:c r="AI200" s="22" t="n">
        <x:v>5</x:v>
      </x:c>
      <x:c r="AJ200" s="22" t="n">
        <x:v>3</x:v>
      </x:c>
      <x:c r="AK200" s="22" t="n">
        <x:v>2</x:v>
      </x:c>
      <x:c r="AL200" s="22" t="n">
        <x:v>2</x:v>
      </x:c>
      <x:c r="AM200" s="22" t="n">
        <x:v>1</x:v>
      </x:c>
      <x:c r="AN200" s="24" t="n">
        <x:f>IFERROR(AI200/X200*100,0)</x:f>
        <x:v>2.9585798816568047</x:v>
      </x:c>
      <x:c r="AO200" s="24" t="n">
        <x:f>IFERROR(AJ200/X200*100,0)</x:f>
        <x:v>1.7751479289940828</x:v>
      </x:c>
      <x:c r="AP200" s="24" t="n">
        <x:f>IFERROR(AK200/X200*100,0)</x:f>
        <x:v>1.183431952662722</x:v>
      </x:c>
      <x:c r="AQ200" s="24" t="n">
        <x:f>IFERROR(AL200/X200*100,0)</x:f>
        <x:v>1.183431952662722</x:v>
      </x:c>
      <x:c r="AR200" s="24" t="n">
        <x:f>IFERROR(AM200/X200*100,0)</x:f>
        <x:v>0.591715976331361</x:v>
      </x:c>
      <x:c r="AS200" s="24" t="n">
        <x:f>IFERROR(Z200/X200*100,0)</x:f>
        <x:v>0</x:v>
      </x:c>
      <x:c r="AT200" s="26" t="n">
        <x:v>19.1</x:v>
      </x:c>
      <x:c r="AU200" s="26" t="n">
        <x:v>-21.9</x:v>
      </x:c>
      <x:c r="AV200" s="26" t="n">
        <x:v>-38</x:v>
      </x:c>
      <x:c r="AW200" s="26" t="n">
        <x:v>0</x:v>
      </x:c>
      <x:c r="AX200" s="26" t="n">
        <x:v>-10.2</x:v>
      </x:c>
      <x:c r="AY200" s="26" t="n">
        <x:v>-25.1</x:v>
      </x:c>
      <x:c r="AZ200" s="26" t="n">
        <x:v>4.8</x:v>
      </x:c>
      <x:c r="BA200" s="26" t="n">
        <x:v>-60.7</x:v>
      </x:c>
      <x:c r="BB200" s="22" t="n">
        <x:f>IFERROR(AE200/Z200,0)</x:f>
        <x:v>0</x:v>
      </x:c>
      <x:c r="BC200" s="17" t="n">
        <x:f>IF(OR(V200="out_of_stock",V200="critical_low_stock"),MAX(0,(14-U200)*T200),0)</x:f>
        <x:v>8</x:v>
      </x:c>
      <x:c r="BD200" s="22" t="n">
        <x:f>IFERROR(BC200*M200,0)</x:f>
        <x:v>143808</x:v>
      </x:c>
      <x:c r="BE200" s="17" t="str">
        <x:v>mobile_funnel_behavior</x:v>
      </x:c>
      <x:c r="BF200" s="17" t="str">
        <x:v>inspired_by_uploaded_mobile_funnel_screenshot + copied_product_context</x:v>
      </x:c>
    </x:row>
    <x:row r="201">
      <x:c r="A201" s="17" t="n">
        <x:v>200</x:v>
      </x:c>
      <x:c r="B201" s="17" t="str">
        <x:v>MOBILE_EVENT_FUNNEL</x:v>
      </x:c>
      <x:c r="C201" s="20" t="n">
        <x:v>46145</x:v>
      </x:c>
      <x:c r="D201" s="17" t="str">
        <x:v>Mobile Web</x:v>
      </x:c>
      <x:c r="E201" s="17" t="str">
        <x:v>Mobile</x:v>
      </x:c>
      <x:c r="F201" s="17" t="str">
        <x:v>Direct</x:v>
      </x:c>
      <x:c r="G201" s="17" t="n">
        <x:v>28</x:v>
      </x:c>
      <x:c r="H201" s="17" t="str">
        <x:v>SAMSUNG</x:v>
      </x:c>
      <x:c r="I201" s="17" t="str">
        <x:v>Telefon</x:v>
      </x:c>
      <x:c r="J201" s="17" t="str">
        <x:v>Cep Telefonları</x:v>
      </x:c>
      <x:c r="K201" s="17" t="str">
        <x:v>SAMSUNG Galaxy S25 FE 5G 8/256 GB Akıllı Telefon Buz Mavisi</x:v>
      </x:c>
      <x:c r="L201" s="17" t="str">
        <x:v>1249062</x:v>
      </x:c>
      <x:c r="M201" s="22" t="n">
        <x:v>33451</x:v>
      </x:c>
      <x:c r="N201" s="26" t="n">
        <x:v>13.1</x:v>
      </x:c>
      <x:c r="O201" s="22" t="n">
        <x:v>0</x:v>
      </x:c>
      <x:c r="P201" s="22" t="n">
        <x:v>0</x:v>
      </x:c>
      <x:c r="Q201" s="22" t="n">
        <x:v>0</x:v>
      </x:c>
      <x:c r="R201" s="17" t="n">
        <x:v>14</x:v>
      </x:c>
      <x:c r="S201" s="22" t="n">
        <x:v>16</x:v>
      </x:c>
      <x:c r="T201" s="24" t="n">
        <x:v>0.9</x:v>
      </x:c>
      <x:c r="U201" s="24" t="n">
        <x:f>IFERROR(O201/T201,0)</x:f>
        <x:v>0</x:v>
      </x:c>
      <x:c r="V201" s="17" t="str">
        <x:f>IF(O201&lt;=0,"out_of_stock",IF(U201&lt;7,"critical_low_stock",IF(U201&gt;60,"overstock","in_stock")))</x:f>
        <x:v>out_of_stock</x:v>
      </x:c>
      <x:c r="W201" s="17" t="str">
        <x:f>IF(O201&lt;=0,"OOS",IF(AND(U201&lt;7,AC201&gt;=0.5),"High Risk",IF(U201&lt;14,"Medium Risk",IF(U201&gt;60,"Overstock","Healthy"))))</x:f>
        <x:v>OOS</x:v>
      </x:c>
      <x:c r="X201" s="22" t="n">
        <x:v>721</x:v>
      </x:c>
      <x:c r="Y201" s="22" t="n">
        <x:v>39</x:v>
      </x:c>
      <x:c r="Z201" s="22" t="n">
        <x:v>1</x:v>
      </x:c>
      <x:c r="AA201" s="24" t="n">
        <x:f>IFERROR(Y201/X201*100,0)</x:f>
        <x:v>5.409153952843273</x:v>
      </x:c>
      <x:c r="AB201" s="26" t="n">
        <x:v>-22.7</x:v>
      </x:c>
      <x:c r="AC201" s="24" t="n">
        <x:f>IFERROR(Z201/X201*100,0)</x:f>
        <x:v>0.13869625520110956</x:v>
      </x:c>
      <x:c r="AD201" s="26" t="n">
        <x:v>-16.8</x:v>
      </x:c>
      <x:c r="AE201" s="22" t="n">
        <x:f>IFERROR(Z201*M201,0)</x:f>
        <x:v>33451</x:v>
      </x:c>
      <x:c r="AF201" s="26" t="n">
        <x:v>-13.3</x:v>
      </x:c>
      <x:c r="AG201" s="24" t="n">
        <x:v>54.4</x:v>
      </x:c>
      <x:c r="AH201" s="26" t="n">
        <x:v>-6.2</x:v>
      </x:c>
      <x:c r="AI201" s="22" t="n">
        <x:v>14</x:v>
      </x:c>
      <x:c r="AJ201" s="22" t="n">
        <x:v>9</x:v>
      </x:c>
      <x:c r="AK201" s="22" t="n">
        <x:v>6</x:v>
      </x:c>
      <x:c r="AL201" s="22" t="n">
        <x:v>5</x:v>
      </x:c>
      <x:c r="AM201" s="22" t="n">
        <x:v>1</x:v>
      </x:c>
      <x:c r="AN201" s="24" t="n">
        <x:f>IFERROR(AI201/X201*100,0)</x:f>
        <x:v>1.9417475728155338</x:v>
      </x:c>
      <x:c r="AO201" s="24" t="n">
        <x:f>IFERROR(AJ201/X201*100,0)</x:f>
        <x:v>1.248266296809986</x:v>
      </x:c>
      <x:c r="AP201" s="24" t="n">
        <x:f>IFERROR(AK201/X201*100,0)</x:f>
        <x:v>0.8321775312066574</x:v>
      </x:c>
      <x:c r="AQ201" s="24" t="n">
        <x:f>IFERROR(AL201/X201*100,0)</x:f>
        <x:v>0.6934812760055479</x:v>
      </x:c>
      <x:c r="AR201" s="24" t="n">
        <x:f>IFERROR(AM201/X201*100,0)</x:f>
        <x:v>0.13869625520110956</x:v>
      </x:c>
      <x:c r="AS201" s="24" t="n">
        <x:f>IFERROR(Z201/X201*100,0)</x:f>
        <x:v>0.13869625520110956</x:v>
      </x:c>
      <x:c r="AT201" s="26" t="n">
        <x:v>12.7</x:v>
      </x:c>
      <x:c r="AU201" s="26" t="n">
        <x:v>-22.7</x:v>
      </x:c>
      <x:c r="AV201" s="26" t="n">
        <x:v>-27</x:v>
      </x:c>
      <x:c r="AW201" s="26" t="n">
        <x:v>-6.4</x:v>
      </x:c>
      <x:c r="AX201" s="26" t="n">
        <x:v>25.7</x:v>
      </x:c>
      <x:c r="AY201" s="26" t="n">
        <x:v>-11.9</x:v>
      </x:c>
      <x:c r="AZ201" s="26" t="n">
        <x:v>-26.4</x:v>
      </x:c>
      <x:c r="BA201" s="26" t="n">
        <x:v>-16.8</x:v>
      </x:c>
      <x:c r="BB201" s="22" t="n">
        <x:f>IFERROR(AE201/Z201,0)</x:f>
        <x:v>33451</x:v>
      </x:c>
      <x:c r="BC201" s="17" t="n">
        <x:f>IF(OR(V201="out_of_stock",V201="critical_low_stock"),MAX(0,(14-U201)*T201),0)</x:f>
        <x:v>12.6</x:v>
      </x:c>
      <x:c r="BD201" s="22" t="n">
        <x:f>IFERROR(BC201*M201,0)</x:f>
        <x:v>421482.6</x:v>
      </x:c>
      <x:c r="BE201" s="17" t="str">
        <x:v>mobile_funnel_behavior</x:v>
      </x:c>
      <x:c r="BF201" s="17" t="str">
        <x:v>inspired_by_uploaded_mobile_funnel_screenshot + copied_product_context</x:v>
      </x:c>
    </x:row>
  </x:sheetData>
  <x:conditionalFormatting sqref="AF2:AF201">
    <x:cfRule type="colorScale" priority="1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conditionalFormatting sqref="U2:U201">
    <x:cfRule type="colorScale" priority="2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conditionalFormatting sqref="BD2:BD201">
    <x:cfRule type="dataBar" priority="3">
      <x:dataBar>
        <x:cfvo type="min"/>
        <x:cfvo type="max"/>
        <x:color rgb="B91C1C"/>
      </x:dataBar>
      <x:extLst>
        <x:ext xmlns:x14="http://schemas.microsoft.com/office/spreadsheetml/2009/9/main" uri="{B025F937-C7B1-47D3-B67F-A62EFF666E3E}">
          <x14:id>{6D5F7CBC-BFED-C192-2C4C-E8B34824DA7C}</x14:id>
        </x:ext>
      </x:extLst>
    </x:cfRule>
  </x:conditionalFormatting>
  <x:conditionalFormatting sqref="W2:W201">
    <x:cfRule type="expression" dxfId="0" priority="4">
      <x:formula>$W2="High Risk"</x:formula>
    </x:cfRule>
    <x:cfRule type="expression" dxfId="1" priority="5">
      <x:formula>$W2="OOS"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1e96d8835d436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6D5F7CBC-BFED-C192-2C4C-E8B34824DA7C}">
            <x14:dataBar gradient="1">
              <x14:cfvo type="min"/>
              <x14:cfvo type="max"/>
              <x14:fillColor rgb="B91C1C"/>
            </x14:dataBar>
          </x14:cfRule>
          <xm:sqref>BD2:BD201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>
      <x:c r="A1" s="5" t="str">
        <x:v>AI Tool Sample Dataset</x:v>
      </x:c>
      <x:c r="B1" s="5" t="str"/>
    </x:row>
    <x:row r="2">
      <x:c r="A2" s="30" t="str">
        <x:v>Main table</x:v>
      </x:c>
      <x:c r="B2" s="30" t="str">
        <x:v>sample_data_200!SampleData200</x:v>
      </x:c>
    </x:row>
    <x:row r="3">
      <x:c r="A3" s="30" t="str">
        <x:v>Total data rows</x:v>
      </x:c>
      <x:c r="B3" s="30" t="n">
        <x:f>COUNTA(sample_data_200!A2:A201)</x:f>
        <x:v>200</x:v>
      </x:c>
    </x:row>
    <x:row r="4">
      <x:c r="A4" s="30" t="str">
        <x:v>Product / stock behavior rows</x:v>
      </x:c>
      <x:c r="B4" s="30" t="n">
        <x:f>COUNTIF(sample_data_200!B:B,"PRODUCT_STOCK_BEHAVIOR")</x:f>
        <x:v>100</x:v>
      </x:c>
    </x:row>
    <x:row r="5">
      <x:c r="A5" s="30" t="str">
        <x:v>Mobile funnel rows</x:v>
      </x:c>
      <x:c r="B5" s="30" t="n">
        <x:f>COUNTIF(sample_data_200!B:B,"MOBILE_EVENT_FUNNEL")</x:f>
        <x:v>100</x:v>
      </x:c>
    </x:row>
    <x:row r="6">
      <x:c r="A6" s="30" t="str">
        <x:v>Total revenue</x:v>
      </x:c>
      <x:c r="B6" s="32" t="n">
        <x:f>SUM(sample_data_200!AE2:AE201)</x:f>
        <x:v>51579915</x:v>
      </x:c>
    </x:row>
    <x:row r="7">
      <x:c r="A7" s="30" t="str">
        <x:v>Avg C2D %</x:v>
      </x:c>
      <x:c r="B7" s="32" t="n">
        <x:f>AVERAGE(sample_data_200!AA2:AA201)</x:f>
        <x:v>7.429962879602041</x:v>
      </x:c>
    </x:row>
    <x:row r="8">
      <x:c r="A8" s="30" t="str">
        <x:v>Avg B2D %</x:v>
      </x:c>
      <x:c r="B8" s="32" t="n">
        <x:f>AVERAGE(sample_data_200!AC2:AC201)</x:f>
        <x:v>0.6574870366478048</x:v>
      </x:c>
    </x:row>
    <x:row r="9">
      <x:c r="A9" s="30" t="str">
        <x:v>OOS rows</x:v>
      </x:c>
      <x:c r="B9" s="32" t="n">
        <x:f>COUNTIF(sample_data_200!V:V,"out_of_stock")</x:f>
        <x:v>13</x:v>
      </x:c>
    </x:row>
    <x:row r="10">
      <x:c r="A10" s="30" t="str">
        <x:v>Critical low stock rows</x:v>
      </x:c>
      <x:c r="B10" s="32" t="n">
        <x:f>COUNTIF(sample_data_200!V:V,"critical_low_stock")</x:f>
        <x:v>30</x:v>
      </x:c>
    </x:row>
    <x:row r="11">
      <x:c r="A11" s="30" t="str">
        <x:v>Overstock rows</x:v>
      </x:c>
      <x:c r="B11" s="32" t="n">
        <x:f>COUNTIF(sample_data_200!V:V,"overstock")</x:f>
        <x:v>51</x:v>
      </x:c>
    </x:row>
    <x:row r="12">
      <x:c r="A12" s="30" t="str">
        <x:v>High Risk stock rows</x:v>
      </x:c>
      <x:c r="B12" s="32" t="n">
        <x:f>COUNTIF(sample_data_200!W:W,"High Risk")</x:f>
        <x:v>19</x:v>
      </x:c>
    </x:row>
    <x:row r="13">
      <x:c r="A13" s="30" t="str">
        <x:v>Purpose</x:v>
      </x:c>
      <x:c r="B13" s="30" t="str">
        <x:v>This sample is designed to run the 200 AI questions: 100 stock/sales/category + 100 mobile funnel questions.</x:v>
      </x:c>
    </x:row>
    <x:row r="14">
      <x:c r="A14" s="30" t="str">
        <x:v>Delta meaning</x:v>
      </x:c>
      <x:c r="B14" s="30" t="str">
        <x:v>All *_delta_pct columns represent previous-period comparison.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55" hidden="0" customWidth="1"/>
    <x:col min="4" max="4" width="38" hidden="0" customWidth="1"/>
  </x:cols>
  <x:sheetData>
    <x:row r="1">
      <x:c r="A1" s="5" t="str">
        <x:v>field</x:v>
      </x:c>
      <x:c r="B1" s="5" t="str">
        <x:v>meaning</x:v>
      </x:c>
      <x:c r="C1" s="5" t="str">
        <x:v>formula_or_source</x:v>
      </x:c>
      <x:c r="D1" s="5" t="str">
        <x:v>use_case</x:v>
      </x:c>
    </x:row>
    <x:row r="2">
      <x:c r="A2" s="30" t="str">
        <x:v>record_type</x:v>
      </x:c>
      <x:c r="B2" s="30" t="str">
        <x:v>Separates product/stock rows from mobile funnel rows</x:v>
      </x:c>
      <x:c r="C2" s="30" t="str">
        <x:v>PRODUCT_STOCK_BEHAVIOR or MOBILE_EVENT_FUNNEL</x:v>
      </x:c>
      <x:c r="D2" s="30" t="str">
        <x:v>Route questions to correct subset</x:v>
      </x:c>
    </x:row>
    <x:row r="3">
      <x:c r="A3" s="30" t="str">
        <x:v>total_unique_pdp_views_sum</x:v>
      </x:c>
      <x:c r="B3" s="30" t="str">
        <x:v>Unique users/sessions with PDP view</x:v>
      </x:c>
      <x:c r="C3" s="30" t="str">
        <x:v>Copied/inspired from uploaded PDP examples</x:v>
      </x:c>
      <x:c r="D3" s="30" t="str">
        <x:v>Demand and funnel denominator</x:v>
      </x:c>
    </x:row>
    <x:row r="4">
      <x:c r="A4" s="30" t="str">
        <x:v>total_unique_add_to_carts_sum</x:v>
      </x:c>
      <x:c r="B4" s="30" t="str">
        <x:v>Unique add-to-cart count</x:v>
      </x:c>
      <x:c r="C4" s="30" t="str">
        <x:v>Generated to support C2D formula</x:v>
      </x:c>
      <x:c r="D4" s="30" t="str">
        <x:v>Product interest and cart intent</x:v>
      </x:c>
    </x:row>
    <x:row r="5">
      <x:c r="A5" s="30" t="str">
        <x:v>total_transactions_sum</x:v>
      </x:c>
      <x:c r="B5" s="30" t="str">
        <x:v>Transaction count</x:v>
      </x:c>
      <x:c r="C5" s="30" t="str">
        <x:v>Generated to support B2D formula</x:v>
      </x:c>
      <x:c r="D5" s="30" t="str">
        <x:v>Sales conversion</x:v>
      </x:c>
    </x:row>
    <x:row r="6">
      <x:c r="A6" s="30" t="str">
        <x:v>c2d_pct</x:v>
      </x:c>
      <x:c r="B6" s="30" t="str">
        <x:v>Cart to Detail</x:v>
      </x:c>
      <x:c r="C6" s="30" t="str">
        <x:v>(total_unique_add_to_carts_sum / total_unique_pdp_views_sum) * 100</x:v>
      </x:c>
      <x:c r="D6" s="30" t="str">
        <x:v>PDP-to-cart quality</x:v>
      </x:c>
    </x:row>
    <x:row r="7">
      <x:c r="A7" s="30" t="str">
        <x:v>b2d_pct</x:v>
      </x:c>
      <x:c r="B7" s="30" t="str">
        <x:v>Buy to Detail</x:v>
      </x:c>
      <x:c r="C7" s="30" t="str">
        <x:v>(total_transactions_sum / total_unique_pdp_views_sum) * 100</x:v>
      </x:c>
      <x:c r="D7" s="30" t="str">
        <x:v>PDP-to-purchase quality</x:v>
      </x:c>
    </x:row>
    <x:row r="8">
      <x:c r="A8" s="30" t="str">
        <x:v>product_price</x:v>
      </x:c>
      <x:c r="B8" s="30" t="str">
        <x:v>Product selling price sample</x:v>
      </x:c>
      <x:c r="C8" s="30" t="str">
        <x:v>Synthetic but product/category-aware</x:v>
      </x:c>
      <x:c r="D8" s="30" t="str">
        <x:v>Price sensitivity and revenue</x:v>
      </x:c>
    </x:row>
    <x:row r="9">
      <x:c r="A9" s="30" t="str">
        <x:v>stock_qty</x:v>
      </x:c>
      <x:c r="B9" s="30" t="str">
        <x:v>Available online stock quantity</x:v>
      </x:c>
      <x:c r="C9" s="30" t="str">
        <x:v>Synthetic stock layer</x:v>
      </x:c>
      <x:c r="D9" s="30" t="str">
        <x:v>Stock risk and OOS analysis</x:v>
      </x:c>
    </x:row>
    <x:row r="10">
      <x:c r="A10" s="30" t="str">
        <x:v>warehouse_stock_qty</x:v>
      </x:c>
      <x:c r="B10" s="30" t="str">
        <x:v>Additional warehouse stock</x:v>
      </x:c>
      <x:c r="C10" s="30" t="str">
        <x:v>Synthetic stock layer</x:v>
      </x:c>
      <x:c r="D10" s="30" t="str">
        <x:v>Transfer and replenishment analysis</x:v>
      </x:c>
    </x:row>
    <x:row r="11">
      <x:c r="A11" s="30" t="str">
        <x:v>incoming_qty</x:v>
      </x:c>
      <x:c r="B11" s="30" t="str">
        <x:v>Expected incoming quantity</x:v>
      </x:c>
      <x:c r="C11" s="30" t="str">
        <x:v>Synthetic stock layer</x:v>
      </x:c>
      <x:c r="D11" s="30" t="str">
        <x:v>Replenishment questions</x:v>
      </x:c>
    </x:row>
    <x:row r="12">
      <x:c r="A12" s="30" t="str">
        <x:v>daily_sales_qty_7d</x:v>
      </x:c>
      <x:c r="B12" s="30" t="str">
        <x:v>Recent daily sales velocity</x:v>
      </x:c>
      <x:c r="C12" s="30" t="str">
        <x:v>Generated from transaction behavior</x:v>
      </x:c>
      <x:c r="D12" s="30" t="str">
        <x:v>Stock coverage and depletion risk</x:v>
      </x:c>
    </x:row>
    <x:row r="13">
      <x:c r="A13" s="30" t="str">
        <x:v>stock_coverage_days</x:v>
      </x:c>
      <x:c r="B13" s="30" t="str">
        <x:v>Days of stock left</x:v>
      </x:c>
      <x:c r="C13" s="30" t="str">
        <x:v>stock_qty / daily_sales_qty_7d</x:v>
      </x:c>
      <x:c r="D13" s="30" t="str">
        <x:v>Stock risk / overstock</x:v>
      </x:c>
    </x:row>
    <x:row r="14">
      <x:c r="A14" s="30" t="str">
        <x:v>availability_status</x:v>
      </x:c>
      <x:c r="B14" s="30" t="str">
        <x:v>Stock availability class</x:v>
      </x:c>
      <x:c r="C14" s="30" t="str">
        <x:v>out_of_stock / critical_low_stock / overstock / in_stock</x:v>
      </x:c>
      <x:c r="D14" s="30" t="str">
        <x:v>Inventory status</x:v>
      </x:c>
    </x:row>
    <x:row r="15">
      <x:c r="A15" s="30" t="str">
        <x:v>stock_risk_level</x:v>
      </x:c>
      <x:c r="B15" s="30" t="str">
        <x:v>Action-oriented risk label</x:v>
      </x:c>
      <x:c r="C15" s="30" t="str">
        <x:v>OOS / High Risk / Medium Risk / Overstock / Healthy</x:v>
      </x:c>
      <x:c r="D15" s="30" t="str">
        <x:v>AI recommendation</x:v>
      </x:c>
    </x:row>
    <x:row r="16">
      <x:c r="A16" s="30" t="str">
        <x:v>revenue</x:v>
      </x:c>
      <x:c r="B16" s="30" t="str">
        <x:v>Estimated revenue</x:v>
      </x:c>
      <x:c r="C16" s="30" t="str">
        <x:v>total_transactions_sum * product_price</x:v>
      </x:c>
      <x:c r="D16" s="30" t="str">
        <x:v>Revenue impact</x:v>
      </x:c>
    </x:row>
    <x:row r="17">
      <x:c r="A17" s="30" t="str">
        <x:v>estimated_lost_sales_qty</x:v>
      </x:c>
      <x:c r="B17" s="30" t="str">
        <x:v>Potential lost sales if stock coverage below 14 days</x:v>
      </x:c>
      <x:c r="C17" s="30" t="str">
        <x:v>IF OOS or critical stock, (14-stock_coverage_days)*daily_sales_qty_7d</x:v>
      </x:c>
      <x:c r="D17" s="30" t="str">
        <x:v>Lost sales estimate</x:v>
      </x:c>
    </x:row>
    <x:row r="18">
      <x:c r="A18" s="30" t="str">
        <x:v>estimated_lost_revenue</x:v>
      </x:c>
      <x:c r="B18" s="30" t="str">
        <x:v>Potential lost revenue</x:v>
      </x:c>
      <x:c r="C18" s="30" t="str">
        <x:v>estimated_lost_sales_qty * product_price</x:v>
      </x:c>
      <x:c r="D18" s="30" t="str">
        <x:v>Commercial prioritization</x:v>
      </x:c>
    </x:row>
    <x:row r="19">
      <x:c r="A19" s="30" t="str">
        <x:v>cart_views</x:v>
      </x:c>
      <x:c r="B19" s="30" t="str">
        <x:v>Users/events reaching cart step</x:v>
      </x:c>
      <x:c r="C19" s="30" t="str">
        <x:v>Synthetic funnel layer</x:v>
      </x:c>
      <x:c r="D19" s="30" t="str">
        <x:v>Cart drop analysis</x:v>
      </x:c>
    </x:row>
    <x:row r="20">
      <x:c r="A20" s="30" t="str">
        <x:v>shipping_views</x:v>
      </x:c>
      <x:c r="B20" s="30" t="str">
        <x:v>Users/events reaching shipping step</x:v>
      </x:c>
      <x:c r="C20" s="30" t="str">
        <x:v>Synthetic funnel layer</x:v>
      </x:c>
      <x:c r="D20" s="30" t="str">
        <x:v>Shipping friction</x:v>
      </x:c>
    </x:row>
    <x:row r="21">
      <x:c r="A21" s="30" t="str">
        <x:v>payment_views</x:v>
      </x:c>
      <x:c r="B21" s="30" t="str">
        <x:v>Users/events reaching payment step</x:v>
      </x:c>
      <x:c r="C21" s="30" t="str">
        <x:v>Synthetic funnel layer</x:v>
      </x:c>
      <x:c r="D21" s="30" t="str">
        <x:v>Payment funnel</x:v>
      </x:c>
    </x:row>
    <x:row r="22">
      <x:c r="A22" s="30" t="str">
        <x:v>summary_views</x:v>
      </x:c>
      <x:c r="B22" s="30" t="str">
        <x:v>Users/events reaching order summary step</x:v>
      </x:c>
      <x:c r="C22" s="30" t="str">
        <x:v>Synthetic funnel layer</x:v>
      </x:c>
      <x:c r="D22" s="30" t="str">
        <x:v>Checkout funnel</x:v>
      </x:c>
    </x:row>
    <x:row r="23">
      <x:c r="A23" s="30" t="str">
        <x:v>checkout_submits</x:v>
      </x:c>
      <x:c r="B23" s="30" t="str">
        <x:v>Checkout submit events</x:v>
      </x:c>
      <x:c r="C23" s="30" t="str">
        <x:v>Synthetic funnel layer</x:v>
      </x:c>
      <x:c r="D23" s="30" t="str">
        <x:v>Checkout submit friction</x:v>
      </x:c>
    </x:row>
    <x:row r="24">
      <x:c r="A24" s="30" t="str">
        <x:v>*_rate_pct</x:v>
      </x:c>
      <x:c r="B24" s="30" t="str">
        <x:v>Step rate vs PDP views</x:v>
      </x:c>
      <x:c r="C24" s="30" t="str">
        <x:v>step_count / total_unique_pdp_views_sum * 100</x:v>
      </x:c>
      <x:c r="D24" s="30" t="str">
        <x:v>Mobile funnel health</x:v>
      </x:c>
    </x:row>
    <x:row r="25">
      <x:c r="A25" s="30" t="str">
        <x:v>*_delta_pct</x:v>
      </x:c>
      <x:c r="B25" s="30" t="str">
        <x:v>Previous-period change</x:v>
      </x:c>
      <x:c r="C25" s="30" t="str">
        <x:v>Previous-period delta, as commonly asked internally</x:v>
      </x:c>
      <x:c r="D25" s="30" t="str">
        <x:v>Trend and anomaly questions</x:v>
      </x:c>
    </x:row>
  </x:sheetData>
  <x:pageMargins left="0.7" right="0.7" top="0.75" bottom="0.75" header="0.3" footer="0.3"/>
  <x:tableParts count="1">
    <x:tablePart xmlns:r="http://schemas.openxmlformats.org/officeDocument/2006/relationships" r:id="R51522787c3b142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5" t="str">
        <x:v>What this file is</x:v>
      </x:c>
      <x:c r="B1" s="30" t="str">
        <x:v>A 200-row sample data workbook for testing an Ollama-based e-commerce AI tool.</x:v>
      </x:c>
    </x:row>
    <x:row r="2">
      <x:c r="A2" s="35" t="str">
        <x:v>Main data sheet</x:v>
      </x:c>
      <x:c r="B2" s="30" t="str">
        <x:v>sample_data_200 has exactly 200 data rows plus header.</x:v>
      </x:c>
    </x:row>
    <x:row r="3">
      <x:c r="A3" s="35" t="str">
        <x:v>Rows 1-100</x:v>
      </x:c>
      <x:c r="B3" s="30" t="str">
        <x:v>PRODUCT_STOCK_BEHAVIOR rows: product, SKU, category, stock, price, PDP, C2D, B2D, revenue fields.</x:v>
      </x:c>
    </x:row>
    <x:row r="4">
      <x:c r="A4" s="35" t="str">
        <x:v>Rows 101-200</x:v>
      </x:c>
      <x:c r="B4" s="30" t="str">
        <x:v>MOBILE_EVENT_FUNNEL rows: mobile funnel steps from PDP View to Transaction, with stock/category context.</x:v>
      </x:c>
    </x:row>
    <x:row r="5">
      <x:c r="A5" s="35" t="str">
        <x:v>Source logic</x:v>
      </x:c>
      <x:c r="B5" s="30" t="str">
        <x:v>Product names/SKUs and some PDP/A2C/C2D/B2D/BR patterns are copied/inspired from the uploaded Excel examples; stock and detailed funnel steps are synthetic.</x:v>
      </x:c>
    </x:row>
    <x:row r="6">
      <x:c r="A6" s="35" t="str">
        <x:v>How to use</x:v>
      </x:c>
      <x:c r="B6" s="30" t="str">
        <x:v>Import sample_data_200 into your test database/agent. Filter by record_type depending on the question.</x:v>
      </x:c>
    </x:row>
    <x:row r="7">
      <x:c r="A7" s="35" t="str">
        <x:v>Important formula</x:v>
      </x:c>
      <x:c r="B7" s="30" t="str">
        <x:v>C2D = SUM(total_unique_add_to_carts_sum) / SUM(total_unique_pdp_views_sum) * 100.</x:v>
      </x:c>
    </x:row>
    <x:row r="8">
      <x:c r="A8" s="35" t="str">
        <x:v>Important formula</x:v>
      </x:c>
      <x:c r="B8" s="30" t="str">
        <x:v>B2D = SUM(total_transactions_sum) / SUM(total_unique_pdp_views_sum) * 100.</x:v>
      </x:c>
    </x:row>
    <x:row r="9">
      <x:c r="A9" s="35" t="str">
        <x:v>Delta convention</x:v>
      </x:c>
      <x:c r="B9" s="30" t="str">
        <x:v>All delta fields are previous-period deltas.</x:v>
      </x:c>
    </x:row>
  </x:sheetData>
  <x:pageMargins left="0.7" right="0.7" top="0.75" bottom="0.75" header="0.3" footer="0.3"/>
</x:worksheet>
</file>